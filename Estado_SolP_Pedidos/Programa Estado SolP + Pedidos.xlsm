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ostobon-my.sharepoint.com/personal/pracmt_postobon_com_co/Documents/Escritorio/PRACTICANTES/Practicante Mantenimiento 2025-02/Pruebas para planificacion de paradas/VERSIONES PARA SOLO ENVIO/"/>
    </mc:Choice>
  </mc:AlternateContent>
  <xr:revisionPtr revIDLastSave="42344" documentId="13_ncr:1_{CAFB8F04-C624-4762-9194-A9D7E9445EF9}" xr6:coauthVersionLast="47" xr6:coauthVersionMax="47" xr10:uidLastSave="{3F548094-ADB2-4F2E-B957-F62862C217A7}"/>
  <bookViews>
    <workbookView xWindow="-120" yWindow="-120" windowWidth="29040" windowHeight="17520" activeTab="1" xr2:uid="{143EC884-269D-4F85-877F-94D74D8B9DBD}"/>
  </bookViews>
  <sheets>
    <sheet name="RUTA SAP" sheetId="9" r:id="rId1"/>
    <sheet name="Planeación de ParadasRev01" sheetId="1" r:id="rId2"/>
    <sheet name="Cronograma" sheetId="8" r:id="rId3"/>
    <sheet name="Consultas" sheetId="3" r:id="rId4"/>
    <sheet name="Hoja4" sheetId="7" state="hidden" r:id="rId5"/>
    <sheet name="Conteo de dias" sheetId="5" state="hidden" r:id="rId6"/>
    <sheet name="Revisiones automaticas general" sheetId="4" state="hidden" r:id="rId7"/>
    <sheet name="Revision de estado" sheetId="6" state="hidden" r:id="rId8"/>
    <sheet name="Info. Importante" sheetId="2" r:id="rId9"/>
    <sheet name="Pedidos" sheetId="11" r:id="rId10"/>
    <sheet name="Informe de pedidos" sheetId="12" r:id="rId11"/>
    <sheet name="Hoja1" sheetId="13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BarrancaAgua">'[1]Base de Datos A'!$D$22:$K$24</definedName>
    <definedName name="BarrancaGas">'[2]Base de Datos G'!$D$35:$K$37</definedName>
    <definedName name="BarranquillaNorteAgua">'[1]Base de Datos A'!$D$28:$K$32</definedName>
    <definedName name="BarranquillaNorteAgua5">'[1]Base de Datos A'!$D$31:$K$31</definedName>
    <definedName name="BarranquillaNorteAgua6">'[1]Base de Datos A'!$D$32:$K$32</definedName>
    <definedName name="BarranquillaNorteGas">'[2]Base de Datos G'!$D$46:$K$50</definedName>
    <definedName name="BarranquillaNorteGas2">'[3]Base de Datos G'!$D$63:$K$65</definedName>
    <definedName name="BelloGas">'[2]Base de Datos G'!$D$38:$K$45</definedName>
    <definedName name="BelloGas2">'[3]Base de Datos G'!$D$46:$K$49</definedName>
    <definedName name="BelloGas3">'[3]Base de Datos G'!$D$50:$K$52</definedName>
    <definedName name="CaliAgua">'[1]Base de Datos A'!$D$40:$K$42</definedName>
    <definedName name="CaliGas">'[2]Base de Datos G'!$D$59:$K$60</definedName>
    <definedName name="CartagenaAgua">'[1]Base de Datos A'!$D$33:$K$36</definedName>
    <definedName name="CartagenaGas">'[2]Base de Datos G'!$D$51:$K$54</definedName>
    <definedName name="Centro">'[1]Base de Datos A'!$D$1:$K$9</definedName>
    <definedName name="CesarAgua">'[1]Base de Datos A'!$D$61:$K$64</definedName>
    <definedName name="CesarAgua2">'[1]Base de Datos A'!$D$61:$K$61</definedName>
    <definedName name="CesarAgua3">'[1]Base de Datos A'!$D$62:$K$62</definedName>
    <definedName name="CesarGas">'[2]Base de Datos G'!$D$76:$K$77</definedName>
    <definedName name="ColumnTitle13">[4]!Nombre_del_empleado[[#Headers],[Nombres de los empleados]]</definedName>
    <definedName name="CordobaAgua">'[1]Base de Datos A'!$D$59:$K$60</definedName>
    <definedName name="CordobaGas">'[2]Base de Datos G'!$D$72:$K$75</definedName>
    <definedName name="CucutaAgua">'[1]Base de Datos A'!$D$55:$K$58</definedName>
    <definedName name="CucutaGas">'[2]Base de Datos G'!$D$69:$K$71</definedName>
    <definedName name="DosquebradasAgua">'[1]Base de Datos A'!$D$43:$K$46</definedName>
    <definedName name="DosquebradasAgua3">'[1]Base de Datos A'!$D$43:$K$43</definedName>
    <definedName name="DosquebradasAgua4">'[1]Base de Datos A'!$D$44:$K$44</definedName>
    <definedName name="DosquebradasGas">'[2]Base de Datos G'!$D$61:$K$64</definedName>
    <definedName name="DuitamaAgua">'[1]Base de Datos A'!$D$10:$K$13</definedName>
    <definedName name="DuitamaGas">'[2]Base de Datos G'!$D$24:$K$26</definedName>
    <definedName name="GASCOL_CENTRO">'Revision de estado'!$H$2</definedName>
    <definedName name="GASCOL_CENTRO_T1">'Revision de estado'!$H$2</definedName>
    <definedName name="GASCOL_SUR">'Revision de estado'!$G$2:$G$4</definedName>
    <definedName name="GASCOL_SUR_T1">'Revision de estado'!$G$2:$G$4</definedName>
    <definedName name="GascolSurGas">'[2]Base de Datos G'!$D$1:$K$7</definedName>
    <definedName name="GascolSurGas1">'[3]Base de Datos G'!$D$7:$K$10</definedName>
    <definedName name="GASEOSAS_LUX_BOGOTÁ">'Revision de estado'!$A$2:$A$11</definedName>
    <definedName name="GASEOSAS_LUX_BOGOTÁ_T1">'Revision de estado'!$A$2:$A$11</definedName>
    <definedName name="GASEOSAS_LUX_PIEDECUESTA">'Revision de estado'!$E$2</definedName>
    <definedName name="GASEOSAS_LUX_PIEDECUESTA_T1">'Revision de estado'!$E$2</definedName>
    <definedName name="GaseosasLuxGas">'[2]Base de Datos G'!$D$8:$K$23</definedName>
    <definedName name="GaseosasLuxGas2">'[2]Base de Datos G'!$D$10:$K$13</definedName>
    <definedName name="GaseosasLuxGas3">'[2]Base de Datos G'!$D$14:$K$18</definedName>
    <definedName name="GaseosasLuxGas3SunFrut">'[1]Base de Datos G'!$D$25:$K$254:'[1]Base de Datos G'!$K$18</definedName>
    <definedName name="GaseosasLuxGas5">'[2]Base de Datos G'!$D$22:$K$23</definedName>
    <definedName name="HipintoAgua">'[1]Base de Datos A'!$D$18:$K$21</definedName>
    <definedName name="HipintoGas">'[2]Base de Datos G'!$D$31:$K$34</definedName>
    <definedName name="Huila2">'[1]Base de Datos A'!$D$50:$K$50</definedName>
    <definedName name="Huila4">'[1]Base de Datos A'!$D$52:$K$53</definedName>
    <definedName name="HuilaAgua">'[1]Base de Datos A'!$D$50:$K$54</definedName>
    <definedName name="HuilaGas">'[2]Base de Datos G'!$D$67:$K$68</definedName>
    <definedName name="KeyCustom1" localSheetId="8">[5]Enero!$O$3</definedName>
    <definedName name="KeyCustom1">[6]Enero!$O$3</definedName>
    <definedName name="KeyCustom2" localSheetId="8">[5]Enero!$T$3</definedName>
    <definedName name="KeyCustom2">[6]Enero!$T$3</definedName>
    <definedName name="KeyPersonal" localSheetId="8">[5]Enero!$G$3</definedName>
    <definedName name="KeyPersonal">[6]Enero!$G$3</definedName>
    <definedName name="KeySick" localSheetId="8">[5]Enero!$K$3</definedName>
    <definedName name="KeySick">[6]Enero!$K$3</definedName>
    <definedName name="KeyVacation" localSheetId="8">[5]Enero!$C$3</definedName>
    <definedName name="KeyVacation">[6]Enero!$C$3</definedName>
    <definedName name="L10_LUX">'Revision de estado'!$S$2</definedName>
    <definedName name="L10_LUX_T3">'Revision de estado'!$AW$2</definedName>
    <definedName name="L10YUMBO">'Revision de estado'!$AD$2:$AD$11</definedName>
    <definedName name="L10YUMBO_T3">'Revision de estado'!$BH$2:$BH$19</definedName>
    <definedName name="L11LUX">'Revision de estado'!$T$2:$T$3</definedName>
    <definedName name="L11LUX_T3">'Revision de estado'!$AX$2</definedName>
    <definedName name="L11MALAM">'Revision de estado'!$Y$2:$Y$14</definedName>
    <definedName name="L11MALAM_T3">'Revision de estado'!$BC$2</definedName>
    <definedName name="L12LUX">'Revision de estado'!$U$2</definedName>
    <definedName name="L12LUX_T3">'Revision de estado'!$AY$2</definedName>
    <definedName name="L12MALAM">'Revision de estado'!$Z$2</definedName>
    <definedName name="L12MALAM_T3">'Revision de estado'!$BD$2</definedName>
    <definedName name="L13MALAM">'Revision de estado'!$AA$2</definedName>
    <definedName name="L13MALAM_T3">'Revision de estado'!$BE$2</definedName>
    <definedName name="L1MALAMB">'Revision de estado'!$V$2:$V$7</definedName>
    <definedName name="L1MALAMB_T3">'Revision de estado'!$AZ$2</definedName>
    <definedName name="L1NGB">'Revision de estado'!$AG$2</definedName>
    <definedName name="L1NGB_T3">'Revision de estado'!$BK$2</definedName>
    <definedName name="L1PEREI">'Revision de estado'!$AN$2:$AN$18</definedName>
    <definedName name="L1PEREI_T3">'Revision de estado'!$BR$2:$BR$12</definedName>
    <definedName name="L1YUMBO">'Revision de estado'!$AB$2:$AB$13</definedName>
    <definedName name="L1YUMBO_T3">'Revision de estado'!$BF$2:$BF$21</definedName>
    <definedName name="L3BELLO">'Revision de estado'!$AE$2:$AE$15</definedName>
    <definedName name="L3BELLO_T3">'Revision de estado'!$BI$2:$BI$7</definedName>
    <definedName name="L3LUX">'Revision de estado'!$N$2</definedName>
    <definedName name="L3LUX_T3">'Revision de estado'!$AR$2</definedName>
    <definedName name="L4LUX">'Revision de estado'!$O$2:$O$9</definedName>
    <definedName name="L4LUX_T3">'Revision de estado'!$AS$2</definedName>
    <definedName name="L4PEREI">'Revision de estado'!$AO$2:$AO$3</definedName>
    <definedName name="L4PEREI_T3">'Revision de estado'!$BS$2:$BS$3</definedName>
    <definedName name="L4SUR">'Revision de estado'!$AH$2</definedName>
    <definedName name="L4SUR_T3">'Revision de estado'!$BL$2</definedName>
    <definedName name="L5LUX">'Revision de estado'!$P$2:$P$11</definedName>
    <definedName name="L5LUX_T3">'Revision de estado'!$AT$2</definedName>
    <definedName name="L5PIEDEC">'Revision de estado'!$AF$2:$AF$28</definedName>
    <definedName name="L5PIEDEC_T3">'Revision de estado'!$BJ$2:$BJ$5</definedName>
    <definedName name="L6CENTRO">'Revision de estado'!$AK$2</definedName>
    <definedName name="L6CENTRO_T3">'Revision de estado'!$BO$2</definedName>
    <definedName name="L6MALAMB">'Revision de estado'!$W$2:$W$11</definedName>
    <definedName name="L6MALAMB_T3">'Revision de estado'!$BA$2</definedName>
    <definedName name="L7MALAMB">'Revision de estado'!$X$2</definedName>
    <definedName name="L7MALAMB_T3">'Revision de estado'!$BB$2</definedName>
    <definedName name="L7MEDELL">'Revision de estado'!$AL$2</definedName>
    <definedName name="L7MEDELL_T3">'Revision de estado'!$BP$2</definedName>
    <definedName name="L7SUR">'Revision de estado'!$AI$2</definedName>
    <definedName name="L7SUR_T3">'Revision de estado'!$BM$2</definedName>
    <definedName name="L8LUX">'Revision de estado'!$Q$2</definedName>
    <definedName name="L8LUX_T3">'Revision de estado'!$AU$2</definedName>
    <definedName name="L8SUR">'Revision de estado'!$AJ$2:$AJ$4</definedName>
    <definedName name="L8SUR_T3">'Revision de estado'!$BN$2</definedName>
    <definedName name="L8YUMBO">'Revision de estado'!$AC$2:$AC$27</definedName>
    <definedName name="L8YUMBO_T3">'Revision de estado'!$BG$2:$BG$17</definedName>
    <definedName name="L9LUX">'Revision de estado'!$R$2</definedName>
    <definedName name="L9LUX_T3">'Revision de estado'!$AV$2</definedName>
    <definedName name="L9MEDELL">'Revision de estado'!$AM$2:$AM$5</definedName>
    <definedName name="L9MEDELL_T3">'Revision de estado'!$BQ$2:$BQ$5</definedName>
    <definedName name="LIN1LUX">'Revision de estado'!$L$2:$L$15</definedName>
    <definedName name="LIN1LUX_T3">'Revision de estado'!$AP$2</definedName>
    <definedName name="LIN2LUX">'Revision de estado'!$M$2</definedName>
    <definedName name="LIN2LUX_T3">'Revision de estado'!$AQ$2</definedName>
    <definedName name="LlanoAgua">'[1]Base de Datos A'!$D$14:$K$17</definedName>
    <definedName name="LlanoGas">'[2]Base de Datos G'!$D$27:$K$30</definedName>
    <definedName name="MariquitaAgua">'[1]Base de Datos A'!$D$47:$K$49</definedName>
    <definedName name="MariquitaGas">'[2]Base de Datos G'!$D$65:$K$66</definedName>
    <definedName name="MedellinAgua">'[1]Base de Datos A'!$D$25:$K$27</definedName>
    <definedName name="NUEVA_GENERACION_DE_BEBIDAS">'Revision de estado'!$F$2</definedName>
    <definedName name="NUEVA_GENERACION_DE_BEBIDAS_T1">'Revision de estado'!$F$2</definedName>
    <definedName name="PastoAgua">'[1]Base de Datos A'!$D$65:$K$68</definedName>
    <definedName name="PastoGas">'[2]Base de Datos G'!$D$78:$K$80</definedName>
    <definedName name="POSTOBÓN_BELLO">'Revision de estado'!$D$2</definedName>
    <definedName name="POSTOBÓN_BELLO_T1">'Revision de estado'!$D$2</definedName>
    <definedName name="POSTOBÓN_MALAMBO">'Revision de estado'!$B$2:$B$7</definedName>
    <definedName name="POSTOBÓN_MALAMBO_T1">'Revision de estado'!$B$2:$B$7</definedName>
    <definedName name="POSTOBÓN_MEDELLÍN">'Revision de estado'!$I$2:$I$3</definedName>
    <definedName name="POSTOBÓN_MEDELLÍN_T1">'Revision de estado'!$I$2:$I$3</definedName>
    <definedName name="POSTOBÓN_PEREIRA">'Revision de estado'!$J$2:$J$3</definedName>
    <definedName name="POSTOBÓN_PEREIRA_T1">'Revision de estado'!$J$2:$J$3</definedName>
    <definedName name="POSTOBÓN_YUMBO">'Revision de estado'!$C$2:$C$4</definedName>
    <definedName name="POSTOBÓN_YUMBO_T1">'Revision de estado'!$C$2:$C$4</definedName>
    <definedName name="SantaMartaAgua">'[1]Base de Datos A'!$D$37:$K$39</definedName>
    <definedName name="SantaMartaGas">'[2]Base de Datos G'!$D$55:$K$58</definedName>
    <definedName name="Title1" localSheetId="1">[6]!Cronograma_Paradas[[#Headers],[POSTOBÓN MALAMBO]]</definedName>
    <definedName name="Title1">[6]!Cronograma_Paradas[[#Headers],[POSTOBÓN MALAMBO]]</definedName>
    <definedName name="Title10">[4]!Octubre[[#Headers],[Nombre del empleado]]</definedName>
    <definedName name="Title11">[4]!Noviembre[[#Headers],[Nombre del empleado]]</definedName>
    <definedName name="Title12">[4]!Diciembre[[#Headers],[Nombre del empleado]]</definedName>
    <definedName name="Title2">[4]!Febrero[[#Headers],[Nombre del empleado]]</definedName>
    <definedName name="Title3">[4]!Marzo[[#Headers],[Nombre del empleado]]</definedName>
    <definedName name="Title4">[4]!March5[[#Headers],[Nombre del empleado]]</definedName>
    <definedName name="Title5">[4]!March58[[#Headers],[Nombre del empleado]]</definedName>
    <definedName name="Title6">[4]!Junio[[#Headers],[Nombre del empleado]]</definedName>
    <definedName name="Title7">[4]!Julio[[#Headers],[Nombre del empleado]]</definedName>
    <definedName name="Title8">[4]!Agosto[[#Headers],[Nombre del empleado]]</definedName>
    <definedName name="Title9">[4]!Septiembre[[#Headers],[Nombre del empleado]]</definedName>
    <definedName name="UrabaAgua">'[1]Base de Datos A'!$D$69:$K$71</definedName>
    <definedName name="UrabaGas">'[2]Base de Datos G'!$D$81:$K$81</definedName>
    <definedName name="YumboAgua">'[1]Base de Datos A'!$D$72:$K$74</definedName>
    <definedName name="YumboGas">'[2]Base de Datos G'!$D$82:$K$86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2" i="3" l="1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AC22" i="8"/>
  <c r="AC23" i="8"/>
  <c r="AD27" i="8"/>
  <c r="AD28" i="8"/>
  <c r="AD13" i="8"/>
  <c r="AC11" i="8"/>
  <c r="AC33" i="8"/>
  <c r="AD31" i="8"/>
  <c r="AD30" i="8"/>
  <c r="AD18" i="8"/>
  <c r="AD20" i="8"/>
  <c r="AC26" i="8"/>
  <c r="AC14" i="8"/>
  <c r="AC12" i="8"/>
  <c r="AD19" i="8"/>
  <c r="AD29" i="8"/>
  <c r="AC31" i="8"/>
  <c r="AC30" i="8"/>
  <c r="AC15" i="8"/>
  <c r="AC29" i="8"/>
  <c r="AD25" i="8"/>
  <c r="AC19" i="8"/>
  <c r="AC6" i="8"/>
  <c r="AD33" i="8"/>
  <c r="AC9" i="8"/>
  <c r="AC28" i="8"/>
  <c r="AD23" i="8"/>
  <c r="AC16" i="8"/>
  <c r="AC27" i="8"/>
  <c r="AD14" i="8"/>
  <c r="AD6" i="8"/>
  <c r="AC20" i="8"/>
  <c r="AC21" i="8"/>
  <c r="AD21" i="8"/>
  <c r="AD4" i="8"/>
  <c r="AC4" i="8"/>
  <c r="AC5" i="8"/>
  <c r="AD24" i="8"/>
  <c r="AD15" i="8"/>
  <c r="AD17" i="8"/>
  <c r="AD10" i="8"/>
  <c r="AC34" i="8"/>
  <c r="AC18" i="8"/>
  <c r="AD34" i="8"/>
  <c r="AC10" i="8"/>
  <c r="AC25" i="8"/>
  <c r="AC8" i="8"/>
  <c r="AD32" i="8"/>
  <c r="AD16" i="8"/>
  <c r="AD12" i="8"/>
  <c r="AC17" i="8"/>
  <c r="AC24" i="8"/>
  <c r="AD7" i="8"/>
  <c r="AC7" i="8"/>
  <c r="AD5" i="8"/>
  <c r="AD11" i="8"/>
  <c r="AC13" i="8"/>
  <c r="AD22" i="8"/>
  <c r="AD26" i="8"/>
  <c r="AD8" i="8"/>
  <c r="AD9" i="8"/>
  <c r="AC32" i="8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27" i="1" l="1"/>
  <c r="A26" i="1"/>
  <c r="B4" i="8" l="1"/>
  <c r="C3" i="3" a="1"/>
  <c r="C3" i="3" l="1"/>
  <c r="B5" i="8"/>
  <c r="B6" i="8" l="1"/>
  <c r="B7" i="8" l="1"/>
  <c r="B8" i="8" l="1"/>
  <c r="B9" i="8" l="1"/>
  <c r="B10" i="8" l="1"/>
  <c r="B11" i="8" l="1"/>
  <c r="B12" i="8" l="1"/>
  <c r="B13" i="8" l="1"/>
  <c r="A32" i="1" l="1"/>
  <c r="A30" i="1"/>
  <c r="A20" i="1"/>
  <c r="A21" i="1" s="1"/>
  <c r="A14" i="1"/>
  <c r="A15" i="1" s="1"/>
  <c r="A16" i="1" s="1"/>
  <c r="A18" i="1" s="1"/>
  <c r="A4" i="1"/>
  <c r="A5" i="1" s="1"/>
  <c r="A6" i="1" s="1"/>
  <c r="A7" i="1" s="1"/>
  <c r="A8" i="1" s="1"/>
  <c r="A9" i="1" s="1"/>
  <c r="A10" i="1" s="1"/>
  <c r="A11" i="1" s="1"/>
  <c r="A12" i="1" s="1"/>
  <c r="C4" i="8" l="1"/>
  <c r="D4" i="8" s="1"/>
  <c r="E4" i="8" s="1"/>
  <c r="F4" i="8" s="1"/>
  <c r="G4" i="8" s="1"/>
  <c r="H4" i="8" s="1"/>
  <c r="I4" i="8" s="1"/>
  <c r="J4" i="8" s="1"/>
  <c r="K4" i="8" s="1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C5" i="8"/>
  <c r="C6" i="8"/>
  <c r="C7" i="8"/>
  <c r="C8" i="8"/>
  <c r="C9" i="8"/>
  <c r="C10" i="8"/>
  <c r="C11" i="8"/>
  <c r="C12" i="8"/>
  <c r="C13" i="8"/>
  <c r="AB4" i="8" l="1"/>
  <c r="D5" i="8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P5" i="8" s="1"/>
  <c r="Q5" i="8" s="1"/>
  <c r="R5" i="8" s="1"/>
  <c r="S5" i="8" s="1"/>
  <c r="T5" i="8" s="1"/>
  <c r="U5" i="8" s="1"/>
  <c r="V5" i="8" s="1"/>
  <c r="W5" i="8" s="1"/>
  <c r="X5" i="8" s="1"/>
  <c r="Y5" i="8" s="1"/>
  <c r="Z5" i="8" s="1"/>
  <c r="AA5" i="8" s="1"/>
  <c r="D12" i="8"/>
  <c r="E12" i="8" s="1"/>
  <c r="F12" i="8" s="1"/>
  <c r="G12" i="8" s="1"/>
  <c r="H12" i="8" s="1"/>
  <c r="I12" i="8" s="1"/>
  <c r="J12" i="8" s="1"/>
  <c r="K12" i="8" s="1"/>
  <c r="L12" i="8" s="1"/>
  <c r="M12" i="8" s="1"/>
  <c r="N12" i="8" s="1"/>
  <c r="O12" i="8" s="1"/>
  <c r="P12" i="8" s="1"/>
  <c r="Q12" i="8" s="1"/>
  <c r="R12" i="8" s="1"/>
  <c r="S12" i="8" s="1"/>
  <c r="T12" i="8" s="1"/>
  <c r="U12" i="8" s="1"/>
  <c r="V12" i="8" s="1"/>
  <c r="W12" i="8" s="1"/>
  <c r="X12" i="8" s="1"/>
  <c r="Y12" i="8" s="1"/>
  <c r="Z12" i="8" s="1"/>
  <c r="AA12" i="8" s="1"/>
  <c r="D13" i="8"/>
  <c r="E13" i="8" s="1"/>
  <c r="F13" i="8" s="1"/>
  <c r="G13" i="8" s="1"/>
  <c r="H13" i="8" s="1"/>
  <c r="I13" i="8" s="1"/>
  <c r="J13" i="8" s="1"/>
  <c r="K13" i="8" s="1"/>
  <c r="L13" i="8" s="1"/>
  <c r="M13" i="8" s="1"/>
  <c r="N13" i="8" s="1"/>
  <c r="O13" i="8" s="1"/>
  <c r="P13" i="8" s="1"/>
  <c r="Q13" i="8" s="1"/>
  <c r="R13" i="8" s="1"/>
  <c r="S13" i="8" s="1"/>
  <c r="T13" i="8" s="1"/>
  <c r="U13" i="8" s="1"/>
  <c r="V13" i="8" s="1"/>
  <c r="W13" i="8" s="1"/>
  <c r="X13" i="8" s="1"/>
  <c r="Y13" i="8" s="1"/>
  <c r="Z13" i="8" s="1"/>
  <c r="AA13" i="8" s="1"/>
  <c r="D11" i="8"/>
  <c r="E11" i="8" s="1"/>
  <c r="F11" i="8" s="1"/>
  <c r="G11" i="8" s="1"/>
  <c r="H11" i="8" s="1"/>
  <c r="I11" i="8" s="1"/>
  <c r="J11" i="8" s="1"/>
  <c r="K11" i="8" s="1"/>
  <c r="L11" i="8" s="1"/>
  <c r="M11" i="8" s="1"/>
  <c r="N11" i="8" s="1"/>
  <c r="O11" i="8" s="1"/>
  <c r="P11" i="8" s="1"/>
  <c r="Q11" i="8" s="1"/>
  <c r="R11" i="8" s="1"/>
  <c r="S11" i="8" s="1"/>
  <c r="T11" i="8" s="1"/>
  <c r="U11" i="8" s="1"/>
  <c r="V11" i="8" s="1"/>
  <c r="W11" i="8" s="1"/>
  <c r="X11" i="8" s="1"/>
  <c r="Y11" i="8" s="1"/>
  <c r="Z11" i="8" s="1"/>
  <c r="AA11" i="8" s="1"/>
  <c r="D9" i="8"/>
  <c r="E9" i="8" s="1"/>
  <c r="F9" i="8" s="1"/>
  <c r="G9" i="8" s="1"/>
  <c r="H9" i="8" s="1"/>
  <c r="I9" i="8" s="1"/>
  <c r="J9" i="8" s="1"/>
  <c r="K9" i="8" s="1"/>
  <c r="L9" i="8" s="1"/>
  <c r="M9" i="8" s="1"/>
  <c r="N9" i="8" s="1"/>
  <c r="O9" i="8" s="1"/>
  <c r="P9" i="8" s="1"/>
  <c r="Q9" i="8" s="1"/>
  <c r="R9" i="8" s="1"/>
  <c r="S9" i="8" s="1"/>
  <c r="T9" i="8" s="1"/>
  <c r="U9" i="8" s="1"/>
  <c r="V9" i="8" s="1"/>
  <c r="W9" i="8" s="1"/>
  <c r="X9" i="8" s="1"/>
  <c r="Y9" i="8" s="1"/>
  <c r="Z9" i="8" s="1"/>
  <c r="AA9" i="8" s="1"/>
  <c r="D6" i="8"/>
  <c r="E6" i="8" s="1"/>
  <c r="F6" i="8" s="1"/>
  <c r="G6" i="8" s="1"/>
  <c r="H6" i="8" s="1"/>
  <c r="I6" i="8" s="1"/>
  <c r="J6" i="8" s="1"/>
  <c r="K6" i="8" s="1"/>
  <c r="L6" i="8" s="1"/>
  <c r="M6" i="8" s="1"/>
  <c r="N6" i="8" s="1"/>
  <c r="O6" i="8" s="1"/>
  <c r="P6" i="8" s="1"/>
  <c r="Q6" i="8" s="1"/>
  <c r="R6" i="8" s="1"/>
  <c r="S6" i="8" s="1"/>
  <c r="T6" i="8" s="1"/>
  <c r="U6" i="8" s="1"/>
  <c r="V6" i="8" s="1"/>
  <c r="W6" i="8" s="1"/>
  <c r="X6" i="8" s="1"/>
  <c r="Y6" i="8" s="1"/>
  <c r="Z6" i="8" s="1"/>
  <c r="AA6" i="8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Z10" i="8" s="1"/>
  <c r="AA10" i="8" s="1"/>
  <c r="D8" i="8"/>
  <c r="E8" i="8" s="1"/>
  <c r="F8" i="8" s="1"/>
  <c r="G8" i="8" s="1"/>
  <c r="H8" i="8" s="1"/>
  <c r="I8" i="8" s="1"/>
  <c r="J8" i="8" s="1"/>
  <c r="K8" i="8" s="1"/>
  <c r="L8" i="8" s="1"/>
  <c r="M8" i="8" s="1"/>
  <c r="N8" i="8" s="1"/>
  <c r="O8" i="8" s="1"/>
  <c r="P8" i="8" s="1"/>
  <c r="Q8" i="8" s="1"/>
  <c r="R8" i="8" s="1"/>
  <c r="S8" i="8" s="1"/>
  <c r="T8" i="8" s="1"/>
  <c r="U8" i="8" s="1"/>
  <c r="V8" i="8" s="1"/>
  <c r="W8" i="8" s="1"/>
  <c r="X8" i="8" s="1"/>
  <c r="Y8" i="8" s="1"/>
  <c r="Z8" i="8" s="1"/>
  <c r="AA8" i="8" s="1"/>
  <c r="D7" i="8"/>
  <c r="E7" i="8" s="1"/>
  <c r="F7" i="8" s="1"/>
  <c r="G7" i="8" s="1"/>
  <c r="H7" i="8" s="1"/>
  <c r="I7" i="8" s="1"/>
  <c r="J7" i="8" s="1"/>
  <c r="K7" i="8" s="1"/>
  <c r="L7" i="8" s="1"/>
  <c r="M7" i="8" s="1"/>
  <c r="N7" i="8" s="1"/>
  <c r="O7" i="8" s="1"/>
  <c r="P7" i="8" s="1"/>
  <c r="Q7" i="8" s="1"/>
  <c r="R7" i="8" s="1"/>
  <c r="S7" i="8" s="1"/>
  <c r="T7" i="8" s="1"/>
  <c r="U7" i="8" s="1"/>
  <c r="V7" i="8" s="1"/>
  <c r="W7" i="8" s="1"/>
  <c r="X7" i="8" s="1"/>
  <c r="Y7" i="8" s="1"/>
  <c r="Z7" i="8" s="1"/>
  <c r="AA7" i="8" s="1"/>
  <c r="AB7" i="8" l="1"/>
  <c r="AB6" i="8"/>
  <c r="AB13" i="8"/>
  <c r="AB10" i="8"/>
  <c r="AB12" i="8"/>
  <c r="AB11" i="8"/>
  <c r="AB8" i="8"/>
  <c r="AB9" i="8"/>
  <c r="AB5" i="8"/>
  <c r="AE17" i="8" l="1"/>
  <c r="AE10" i="8"/>
  <c r="AE8" i="8"/>
  <c r="AE13" i="8"/>
  <c r="AE5" i="8"/>
  <c r="AE11" i="8"/>
  <c r="AE6" i="8"/>
  <c r="AE9" i="8"/>
  <c r="AE12" i="8"/>
  <c r="AE7" i="8"/>
  <c r="AE4" i="8" l="1"/>
  <c r="AE16" i="8"/>
  <c r="AF16" i="8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tc={F86BF44B-86BC-4F7A-A0FD-C23463F41A2F}</author>
    <author>Juan Fernando Gomez Gomez</author>
  </authors>
  <commentList>
    <comment ref="AE23" authorId="0" shapeId="0" xr:uid="{F86BF44B-86BC-4F7A-A0FD-C23463F41A2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Linea PET, Línea Personal, Jarabe Simple, PTAP.</t>
      </text>
    </comment>
    <comment ref="C49" authorId="1" shapeId="0" xr:uid="{9AC7A678-5967-476D-8BFD-2C71CA3B9332}">
      <text>
        <r>
          <rPr>
            <b/>
            <sz val="9"/>
            <color indexed="81"/>
            <rFont val="Tahoma"/>
            <family val="2"/>
          </rPr>
          <t>Juan Fernando Gomez Gomez:</t>
        </r>
        <r>
          <rPr>
            <sz val="9"/>
            <color indexed="81"/>
            <rFont val="Tahoma"/>
            <family val="2"/>
          </rPr>
          <t xml:space="preserve">
Ver notas en las modificaciones de fechas de color amarillo.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Fernando Gomez Gomez</author>
  </authors>
  <commentList>
    <comment ref="B25" authorId="0" shapeId="0" xr:uid="{EB1D78B8-6714-45FC-8669-BD8C3F34D6FE}">
      <text>
        <r>
          <rPr>
            <b/>
            <sz val="9"/>
            <color indexed="81"/>
            <rFont val="Tahoma"/>
            <family val="2"/>
          </rPr>
          <t>Juan Fernando Gomez Gomez:</t>
        </r>
        <r>
          <rPr>
            <sz val="9"/>
            <color indexed="81"/>
            <rFont val="Tahoma"/>
            <family val="2"/>
          </rPr>
          <t xml:space="preserve">
Ver notas en las modificaciones de fechas de color amarillo.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<sst xmlns="http://schemas.openxmlformats.org/spreadsheetml/2006/main" count="2243" uniqueCount="1009">
  <si>
    <t>Contraseña</t>
  </si>
  <si>
    <t>Usuario</t>
  </si>
  <si>
    <t>Conexión</t>
  </si>
  <si>
    <t>Ruta de SAP</t>
  </si>
  <si>
    <t>C:\Users\pracmt\OneDrive - Gaseosas Postobon S.A\Escritorio\informes</t>
  </si>
  <si>
    <t>Informe</t>
  </si>
  <si>
    <r>
      <t xml:space="preserve">MANTENIMIENTOS MAYORES 
</t>
    </r>
    <r>
      <rPr>
        <b/>
        <sz val="14"/>
        <color rgb="FFFF0000"/>
        <rFont val="Calibri"/>
        <family val="2"/>
        <scheme val="minor"/>
      </rPr>
      <t>LÍNEAS ÉLITES 2026</t>
    </r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</si>
  <si>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</si>
  <si>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</si>
  <si>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</si>
  <si>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</si>
  <si>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</si>
  <si>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</si>
  <si>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</si>
  <si>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</si>
  <si>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</si>
  <si>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</si>
  <si>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</si>
  <si>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</si>
  <si>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PARADA CONCILIADA
2026</t>
  </si>
  <si>
    <t>Solicitud de Pedido</t>
  </si>
  <si>
    <t>Pedido</t>
  </si>
  <si>
    <r>
      <rPr>
        <b/>
        <sz val="12"/>
        <color rgb="FF000000"/>
        <rFont val="Calibri"/>
        <family val="2"/>
        <scheme val="minor"/>
      </rPr>
      <t>Llegada Repuesto 
(</t>
    </r>
    <r>
      <rPr>
        <b/>
        <i/>
        <sz val="12"/>
        <color rgb="FFFF0000"/>
        <rFont val="Calibri"/>
        <family val="2"/>
        <scheme val="minor"/>
      </rPr>
      <t>Nota: Entrega Proveedor</t>
    </r>
    <r>
      <rPr>
        <b/>
        <sz val="12"/>
        <color rgb="FF000000"/>
        <rFont val="Calibri"/>
        <family val="2"/>
        <scheme val="minor"/>
      </rPr>
      <t>)</t>
    </r>
  </si>
  <si>
    <t>ID</t>
  </si>
  <si>
    <t>Planta</t>
  </si>
  <si>
    <t>Línea</t>
  </si>
  <si>
    <t>INI</t>
  </si>
  <si>
    <t>FIN</t>
  </si>
  <si>
    <t>1er Parada</t>
  </si>
  <si>
    <t>2da Parada</t>
  </si>
  <si>
    <t>3er Parada</t>
  </si>
  <si>
    <t>1er Parada
Fecha - SolP</t>
  </si>
  <si>
    <t>2da Parada
Fecha - SolP</t>
  </si>
  <si>
    <t>3er Parada
Fecha - SolP</t>
  </si>
  <si>
    <t>1er Parada
Fecha - Pedido</t>
  </si>
  <si>
    <t>2da Parada
Fecha - Pedido</t>
  </si>
  <si>
    <t>3er Parada
Fecha - Pedido</t>
  </si>
  <si>
    <t>1er Parada
Fecha</t>
  </si>
  <si>
    <t>2da Parada
Fecha</t>
  </si>
  <si>
    <t>3er Parada
Fecha</t>
  </si>
  <si>
    <t>GASEOSAS LUX BOGOTÁ</t>
  </si>
  <si>
    <t>LIN1LUX</t>
  </si>
  <si>
    <t>"5069852728 - Llenadora
5069852861 - Enjuagadora
5069852901 - Mezclador
5069925616 - Blomax 14"</t>
  </si>
  <si>
    <t>No tiene pedido porque las solped no están completamente liberadas</t>
  </si>
  <si>
    <t>LIN2LUX</t>
  </si>
  <si>
    <t>L3LUX</t>
  </si>
  <si>
    <t>L4LUX</t>
  </si>
  <si>
    <t>5069852XXX - Llenadora (Material en planta)</t>
  </si>
  <si>
    <t>L5LUX</t>
  </si>
  <si>
    <t>5069798623 - Llenadora
5069798647 - Enjuagadora
5069798652 - Mezclador</t>
  </si>
  <si>
    <t>En proceso de creación de pedido.</t>
  </si>
  <si>
    <t>L8LUX</t>
  </si>
  <si>
    <t>L9LUX</t>
  </si>
  <si>
    <t>L10 LUX</t>
  </si>
  <si>
    <t>L11LUX</t>
  </si>
  <si>
    <t>5069754165 Llenadora</t>
  </si>
  <si>
    <t>P225216-01 - Semana 45</t>
  </si>
  <si>
    <t>L12LUX</t>
  </si>
  <si>
    <t>POSTOBÓN MALAMBO</t>
  </si>
  <si>
    <t>L1MALAMB</t>
  </si>
  <si>
    <t>5069794826 - TODA PARTE HUMEDA</t>
  </si>
  <si>
    <t>P125386-01 - Semana 02</t>
  </si>
  <si>
    <t>L6MALAMB</t>
  </si>
  <si>
    <t>5069743180 - ENFARDADORA
5069621929 - PALETIZADORA
5069794806 - ENVOLVEDORA</t>
  </si>
  <si>
    <t>P125364-01 - En planta
P125260-01 - En planta
5069794806 - En creación de pedido y materiales en aclaración</t>
  </si>
  <si>
    <t>L7MALAMB</t>
  </si>
  <si>
    <t>L11MALAM</t>
  </si>
  <si>
    <t>5069743183 - PASTEURIZADOR
5069858462 - LLENADORA
5069722012 - RINSER
5069743181 - ESTERILIZADOR</t>
  </si>
  <si>
    <t>3682947293 - En planta
5069858462 - En creación de pedido
P125337-01 - En transito a planta
5069743181 - En cotización</t>
  </si>
  <si>
    <t>L12MALAM</t>
  </si>
  <si>
    <t>L13MALAM</t>
  </si>
  <si>
    <t>POSTOBÓN YUMBO</t>
  </si>
  <si>
    <t>L1YUMBO</t>
  </si>
  <si>
    <t>5069873602 (ETIQ) 
5069873730-5069889024 (CONTIFLOW) 
5069873734-5069875612(LLENADORA)</t>
  </si>
  <si>
    <t>5069874268 (RINSE)
5069874195 (LLENADORA)
5069875254 (ENFARDADORA)
5069875411(TRANSP PAQUETES)5069875414(PALETIZADORA) 5069938612 (GEN OZONO PTAP)</t>
  </si>
  <si>
    <t>En aclaraciones y cotización</t>
  </si>
  <si>
    <t>L8YUMBO</t>
  </si>
  <si>
    <t>5069854541 - Llenadora valvulas alimentacion
5069765807-5069891247 stock material tecmi y modupal
5069849569 - tetrapak pasteurizador, cip, zona 600 y zona 20 sala jugos</t>
  </si>
  <si>
    <t>5069854760 (ETIQ) 
5069857086 (TRANSP PAQUETES) 
5069859664 (LLENADORA) 
5069862155 (ROBOPAC)</t>
  </si>
  <si>
    <t>5069854541 - En creación de pedido
P125360-01 - Por confirmar entrega
5069891247 - En creación de pedido
5069849569 - En cotización</t>
  </si>
  <si>
    <t>L10YUMBO</t>
  </si>
  <si>
    <t>ATLANTA (5069902412) LLENADORA (5069927758) CONTIFLOW(5069927517)</t>
  </si>
  <si>
    <t>LLENADORA(5069928533) ENFARADORA (5069928941) TRANSP PAQUETES(5069928976) PALETIZADORA (5069929034) ETIQUETADORA (5069928534)</t>
  </si>
  <si>
    <t>Pdte</t>
  </si>
  <si>
    <t>POSTOBÓN BELLO</t>
  </si>
  <si>
    <t>L3BELLO</t>
  </si>
  <si>
    <t>5069903513 - paletizadora
5069903514 - etiq. lineal
5069903515 - atlanta
5069903516 - variopac</t>
  </si>
  <si>
    <t>enero - 2026
(sin crear)</t>
  </si>
  <si>
    <t>P125464-01 - Por confirmar entrega
P125461-01 - Por confirmar entrega
5069903515 - En creación de pedido
P125463-01 - Por confirmar entrega</t>
  </si>
  <si>
    <t>GASEOSAS LUX PIEDECUESTA</t>
  </si>
  <si>
    <t>L5PIEDEC</t>
  </si>
  <si>
    <t>5069766814 - contiflow
5069840728 - trasnpo. aereos
5069767074  - llenadora 
5069776941 - rinser
5069786759- filtrox
5069871836 - paletizadora
En tramite Solped Tetrapak jarabes y Ptap</t>
  </si>
  <si>
    <t>octubre 2025
(sin crear)</t>
  </si>
  <si>
    <t>P225186-01 - Semana 47
5069840728 - En creación de pedido
5069767074  - En creación de pedido
P225239-01 - Semana 49
P225206-01 - Semana 01
5069871836 - En cotización</t>
  </si>
  <si>
    <t>NUEVA GENERACION DE BEBIDAS</t>
  </si>
  <si>
    <t>L1NGB</t>
  </si>
  <si>
    <t>GASCOL SUR</t>
  </si>
  <si>
    <t>L4SUR</t>
  </si>
  <si>
    <t>L7SUR</t>
  </si>
  <si>
    <t>L8SUR</t>
  </si>
  <si>
    <t>5069903062 (ETIQUETADORA)</t>
  </si>
  <si>
    <t>Pdte liberación solped</t>
  </si>
  <si>
    <t>GASCOL CENTRO</t>
  </si>
  <si>
    <t>L6CENTRO</t>
  </si>
  <si>
    <t>POSTOBÓN MEDELLÍN</t>
  </si>
  <si>
    <t>L7MEDELL</t>
  </si>
  <si>
    <t>L9MEDELL</t>
  </si>
  <si>
    <t>Junio 
(sin crear)</t>
  </si>
  <si>
    <t>Diciembre (sin crear)</t>
  </si>
  <si>
    <t>POSTOBÓN PEREIRA</t>
  </si>
  <si>
    <t>L1PEREI</t>
  </si>
  <si>
    <t>Ene - Feb - Mtto 21k
(sin crear)
Feb - TPOP Pasteurizador
(sin Crear</t>
  </si>
  <si>
    <t>Jun - Jul - Mtto de 22K
(sin Crear)</t>
  </si>
  <si>
    <t>L4PEREI</t>
  </si>
  <si>
    <t>IlINEA INACTIVA</t>
  </si>
  <si>
    <t>GASEOSAS LUX DUITAMA</t>
  </si>
  <si>
    <t>L1DUITAMA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</si>
  <si>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</si>
  <si>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</si>
  <si>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</si>
  <si>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</si>
  <si>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</si>
  <si>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</si>
  <si>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</si>
  <si>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</si>
  <si>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</si>
  <si>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</si>
  <si>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</si>
  <si>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</si>
  <si>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Convenciones</t>
  </si>
  <si>
    <t>Fecha inicial Plan</t>
  </si>
  <si>
    <t>Fecha nueva Mtto - Obs.</t>
  </si>
  <si>
    <t>Fecha Cumplida</t>
  </si>
  <si>
    <t>Fecha sin conciliar POST - IBER - COMP</t>
  </si>
  <si>
    <t>Sin fecha definida  POST - IBER - COMP</t>
  </si>
  <si>
    <t>Fecha conciliada  POST - IBER - COMP</t>
  </si>
  <si>
    <t>Planeación de Paradas Líneas Élite 2026</t>
  </si>
  <si>
    <t>Total días</t>
  </si>
  <si>
    <t>Data</t>
  </si>
  <si>
    <t xml:space="preserve">Ingrese aquí su consulta individual </t>
  </si>
  <si>
    <t>Consulta pedido y estado</t>
  </si>
  <si>
    <t>C:\Users\pracmt\OneDrive - Gaseosas Postobon S.A\Escritorio\PRACTICANTES\Practicante Mantenimiento 2025-02\Pruebas para planificacion de paradas</t>
  </si>
  <si>
    <t>L. Disponibles</t>
  </si>
  <si>
    <t>Parada 1</t>
  </si>
  <si>
    <t>Parada 2</t>
  </si>
  <si>
    <t>Consulta Personalizada</t>
  </si>
  <si>
    <t>Texto breve</t>
  </si>
  <si>
    <t>Estado</t>
  </si>
  <si>
    <t>Posicion</t>
  </si>
  <si>
    <t>Disponibilidad</t>
  </si>
  <si>
    <t>Ultima denominacion</t>
  </si>
  <si>
    <t>Moneda</t>
  </si>
  <si>
    <t>Precio unitario</t>
  </si>
  <si>
    <t>Cantidad</t>
  </si>
  <si>
    <t>GASEOSAS_LUX_BOGOTÁ</t>
  </si>
  <si>
    <t>@11\QBorrado@</t>
  </si>
  <si>
    <t>Total Días</t>
  </si>
  <si>
    <t>Conteo</t>
  </si>
  <si>
    <t>POSTOBÓN_MALAMBO</t>
  </si>
  <si>
    <t>POSTOBÓN_YUMBO</t>
  </si>
  <si>
    <t>POSTOBÓN_BELLO</t>
  </si>
  <si>
    <t>GASEOSAS_LUX_PIEDECUESTA</t>
  </si>
  <si>
    <t>NUEVA_GENERACION_DE_BEBIDAS</t>
  </si>
  <si>
    <t>GASCOL_SUR</t>
  </si>
  <si>
    <t>GASCOL_CENTRO</t>
  </si>
  <si>
    <t>POSTOBÓN_MEDELLÍN</t>
  </si>
  <si>
    <t>POSTOBÓN_PEREIRA</t>
  </si>
  <si>
    <t>L10_LUX</t>
  </si>
  <si>
    <t>LIN1LUX_T3</t>
  </si>
  <si>
    <t>LIN2LUX_T3</t>
  </si>
  <si>
    <t>L3LUX_T3</t>
  </si>
  <si>
    <t>L4LUX_T3</t>
  </si>
  <si>
    <t>L5LUX_T3</t>
  </si>
  <si>
    <t>L8LUX_T3</t>
  </si>
  <si>
    <t>L9LUX_T3</t>
  </si>
  <si>
    <t>L10_LUX_T3</t>
  </si>
  <si>
    <t>L11LUX_T3</t>
  </si>
  <si>
    <t>L12LUX_T3</t>
  </si>
  <si>
    <t>L1MALAMB_T3</t>
  </si>
  <si>
    <t>L6MALAMB_T3</t>
  </si>
  <si>
    <t>L7MALAMB_T3</t>
  </si>
  <si>
    <t>L11MALAM_T3</t>
  </si>
  <si>
    <t>L12MALAM_T3</t>
  </si>
  <si>
    <t>L13MALAM_T3</t>
  </si>
  <si>
    <t>L1YUMBO_T3</t>
  </si>
  <si>
    <t>L8YUMBO_T3</t>
  </si>
  <si>
    <t>L10YUMBO_T3</t>
  </si>
  <si>
    <t>L3BELLO_T3</t>
  </si>
  <si>
    <t>L5PIEDEC_T3</t>
  </si>
  <si>
    <t>L1NGB_T3</t>
  </si>
  <si>
    <t>L4SUR_T3</t>
  </si>
  <si>
    <t>L7SUR_T3</t>
  </si>
  <si>
    <t>L8SUR_T3</t>
  </si>
  <si>
    <t>L6CENTRO_T3</t>
  </si>
  <si>
    <t>L7MEDELL_T3</t>
  </si>
  <si>
    <t>L9MEDELL_T3</t>
  </si>
  <si>
    <t>L1PEREI_T3</t>
  </si>
  <si>
    <t>L4PEREI_T3</t>
  </si>
  <si>
    <t>"5069852728</t>
  </si>
  <si>
    <t>5069852XXX</t>
  </si>
  <si>
    <t>ATLANTA</t>
  </si>
  <si>
    <t>Ene</t>
  </si>
  <si>
    <t>IlINEA</t>
  </si>
  <si>
    <t>LLENADORA</t>
  </si>
  <si>
    <t>enero</t>
  </si>
  <si>
    <t>octubre</t>
  </si>
  <si>
    <t>Jun</t>
  </si>
  <si>
    <t>Llenadora</t>
  </si>
  <si>
    <t xml:space="preserve">
</t>
  </si>
  <si>
    <t>INACTIVA</t>
  </si>
  <si>
    <t xml:space="preserve">2025
</t>
  </si>
  <si>
    <t>ETIQ</t>
  </si>
  <si>
    <t>ETIQUETADORA</t>
  </si>
  <si>
    <t>sin</t>
  </si>
  <si>
    <t>RINSE</t>
  </si>
  <si>
    <t>Llenadora
5069852861</t>
  </si>
  <si>
    <t>Llenadora
5069798647</t>
  </si>
  <si>
    <t>TODA</t>
  </si>
  <si>
    <t>ENFARDADORA
5069621929</t>
  </si>
  <si>
    <t>PASTEURIZADOR
5069858462</t>
  </si>
  <si>
    <t>paletizadora
5069903514</t>
  </si>
  <si>
    <t>contiflow
5069840728</t>
  </si>
  <si>
    <t>crear</t>
  </si>
  <si>
    <t>Feb</t>
  </si>
  <si>
    <t xml:space="preserve">
5069874195</t>
  </si>
  <si>
    <t>ENFARADORA</t>
  </si>
  <si>
    <t xml:space="preserve">2026
</t>
  </si>
  <si>
    <t>Jul</t>
  </si>
  <si>
    <t>PARTE</t>
  </si>
  <si>
    <t xml:space="preserve">
5069873730</t>
  </si>
  <si>
    <t>valvulas</t>
  </si>
  <si>
    <t xml:space="preserve">
5069857086</t>
  </si>
  <si>
    <t>Material</t>
  </si>
  <si>
    <t>HUMEDA</t>
  </si>
  <si>
    <t>alimentacion
5069765807</t>
  </si>
  <si>
    <t>Enjuagadora
5069852901</t>
  </si>
  <si>
    <t>en</t>
  </si>
  <si>
    <t>Enjuagadora
5069798652</t>
  </si>
  <si>
    <t>PALETIZADORA
5069794806</t>
  </si>
  <si>
    <t>LLENADORA
5069722012</t>
  </si>
  <si>
    <t>etiq.</t>
  </si>
  <si>
    <t>trasnpo.</t>
  </si>
  <si>
    <t>Mtto</t>
  </si>
  <si>
    <t xml:space="preserve">
5069875254</t>
  </si>
  <si>
    <t>TRANSP</t>
  </si>
  <si>
    <t>planta</t>
  </si>
  <si>
    <t>CONTIFLOW</t>
  </si>
  <si>
    <t>stock</t>
  </si>
  <si>
    <t>lineal
5069903515</t>
  </si>
  <si>
    <t>aereos
5069767074</t>
  </si>
  <si>
    <t xml:space="preserve">21k
</t>
  </si>
  <si>
    <t>PAQUETES</t>
  </si>
  <si>
    <t>de</t>
  </si>
  <si>
    <t>material</t>
  </si>
  <si>
    <t>ENFARDADORA</t>
  </si>
  <si>
    <t xml:space="preserve">22K
</t>
  </si>
  <si>
    <t>Mezclador
5069925616</t>
  </si>
  <si>
    <t>Mezclador</t>
  </si>
  <si>
    <t>ENVOLVEDORA</t>
  </si>
  <si>
    <t>RINSER
5069743181</t>
  </si>
  <si>
    <t xml:space="preserve">
5069873734</t>
  </si>
  <si>
    <t>tecmi</t>
  </si>
  <si>
    <t xml:space="preserve">
5069875411</t>
  </si>
  <si>
    <t xml:space="preserve">
5069859664</t>
  </si>
  <si>
    <t>y</t>
  </si>
  <si>
    <t>atlanta
5069903516</t>
  </si>
  <si>
    <t xml:space="preserve">
Feb</t>
  </si>
  <si>
    <t>Crear</t>
  </si>
  <si>
    <t>modupal
5069849569</t>
  </si>
  <si>
    <t>llenadora</t>
  </si>
  <si>
    <t>PALETIZADORA</t>
  </si>
  <si>
    <t>Blomax</t>
  </si>
  <si>
    <t>ESTERILIZADOR</t>
  </si>
  <si>
    <t xml:space="preserve">
5069776941</t>
  </si>
  <si>
    <t>14"</t>
  </si>
  <si>
    <t>variopac</t>
  </si>
  <si>
    <t>TPOP</t>
  </si>
  <si>
    <t xml:space="preserve">
5069862155</t>
  </si>
  <si>
    <t>tetrapak</t>
  </si>
  <si>
    <t xml:space="preserve">Pasteurizador
</t>
  </si>
  <si>
    <t>pasteurizador</t>
  </si>
  <si>
    <t>rinser
5069786759</t>
  </si>
  <si>
    <t>ROBOPAC</t>
  </si>
  <si>
    <t>cip</t>
  </si>
  <si>
    <t>filtrox
5069871836</t>
  </si>
  <si>
    <t>GEN</t>
  </si>
  <si>
    <t>OZONO</t>
  </si>
  <si>
    <t>zona</t>
  </si>
  <si>
    <t>PTAP</t>
  </si>
  <si>
    <t>paletizadora
En</t>
  </si>
  <si>
    <t>tramite</t>
  </si>
  <si>
    <t>Solped</t>
  </si>
  <si>
    <t>Tetrapak</t>
  </si>
  <si>
    <t>sala</t>
  </si>
  <si>
    <t>jarabes</t>
  </si>
  <si>
    <t>jugos</t>
  </si>
  <si>
    <t>Ptap</t>
  </si>
  <si>
    <t>Información Importante a Tener en Cuenta</t>
  </si>
  <si>
    <t>Pruebas incluidas en las paradas de mantenimiento mayor</t>
  </si>
  <si>
    <t>CIP y COP no se encuentra dentro de estos tiempos.</t>
  </si>
  <si>
    <t>Se revisarán las paradas cada 6 meses con el equipo presente en la reunión.</t>
  </si>
  <si>
    <t>Los tiempos de compras son los siguientes:</t>
  </si>
  <si>
    <t>Se informa que no todas las líneas cumplen con los 10 días de paradas, se deben validar.</t>
  </si>
  <si>
    <t>Tetra Pak por verificar.</t>
  </si>
  <si>
    <t>Notas</t>
  </si>
  <si>
    <r>
      <t xml:space="preserve">Se debe crear </t>
    </r>
    <r>
      <rPr>
        <b/>
        <sz val="11"/>
        <color theme="1"/>
        <rFont val="Calibri"/>
        <family val="2"/>
      </rPr>
      <t>SolP diferente</t>
    </r>
    <r>
      <rPr>
        <sz val="11"/>
        <color theme="1"/>
        <rFont val="Calibri"/>
        <family val="2"/>
      </rPr>
      <t xml:space="preserve"> cuando se van a </t>
    </r>
    <r>
      <rPr>
        <u/>
        <sz val="11"/>
        <color theme="1"/>
        <rFont val="Calibri"/>
        <family val="2"/>
      </rPr>
      <t>incluir adicionales a la SolP Original / Inicial</t>
    </r>
    <r>
      <rPr>
        <sz val="11"/>
        <color theme="1"/>
        <rFont val="Calibri"/>
        <family val="2"/>
      </rPr>
      <t>.</t>
    </r>
  </si>
  <si>
    <t>Se debe hacer seguimiento a las liberaciones totales y no parciales para no afectar los tiempos.</t>
  </si>
  <si>
    <t>Crear SolP por equipo para el mismo Overhaul para facilidad de Compras y Comercio Exterior.</t>
  </si>
  <si>
    <t>Los Planeadores son los responsables de todas las SolP que se crean en las operaciones.</t>
  </si>
  <si>
    <t>Todos menos Tetra Pak con Nacional (Clase de Valoración)</t>
  </si>
  <si>
    <t>Fecha de liberacion</t>
  </si>
  <si>
    <t>Liberada</t>
  </si>
  <si>
    <t xml:space="preserve">Fecha estimada </t>
  </si>
  <si>
    <t>Cantidad por entregar</t>
  </si>
  <si>
    <t>Centro</t>
  </si>
  <si>
    <t>Pedidos Únicos</t>
  </si>
  <si>
    <t>16.01.2026                                                Salida dinámica de lista                                                                                                     1</t>
  </si>
  <si>
    <t>----------------------------------------------------------------------------------------------------------------------------------------------------------------------------------------</t>
  </si>
  <si>
    <t>|Ce. |Prov./Ce.sumin.       |Material|Texto breve                         |Fe.entrega|Cantidad|Ctd.EM|Por entrg.|UMP| Prc.neto|Mon.|Doc.compr.|Pos.|Valor neto|EstadLib|Sol.pedido|Pos.|</t>
  </si>
  <si>
    <t>|6500|4000000522 KRONES A.G.|1602278 |PISTON 0-905-72-004-5               |18.02.2026|      8 |    0 |        8 |PZA|   75,17 |EUR |P625216-01|  10|   601,36 |X       |5069960957|  10|</t>
  </si>
  <si>
    <t>|6500|4000000522 KRONES A.G.|1602279 |GRASA 0-905-72-004-9 X 0,025 KG     |18.02.2026|      8 |    0 |        8 |PZA|    9,57 |EUR |P625216-01|  20|    76,56 |X       |5069960957|  20|</t>
  </si>
  <si>
    <t>|6500|4000000522 KRONES A.G.|1415400 |GUIA 0-902-86-983-9                 |18.02.2026|      8 |    0 |        8 |PZA|   45,16 |EUR |P625216-01|  30|   361,28 |X       |5069960957|  30|</t>
  </si>
  <si>
    <t>|6500|4000000522 KRONES A.G.|1415401 |ANILLO 0-903-42-831-8               |18.02.2026|      8 |    0 |        8 |PZA|    1,46 |EUR |P625216-01|  40|    11,68 |X       |5069960957|  40|</t>
  </si>
  <si>
    <t>|6500|4000000522 KRONES A.G.|1415402 |ANILLO 0-903-42-837-2               |18.02.2026|      8 |    0 |        8 |PZA|    1,46 |EUR |P625216-01|  50|    11,68 |X       |5069960957|  50|</t>
  </si>
  <si>
    <t>|6500|4000000522 KRONES A.G.|1635754 |REDUCTOR DE PRESION 0-905-74-260-9  |18.02.2026|      1 |    0 |        1 |PZA|3.654,59 |EUR |P625216-01|  60| 3.654,59 |X       |5069960957|  60|</t>
  </si>
  <si>
    <t>|6500|4000000522 KRONES A.G.|1356201 |RED PRES 0901673267=0-905-74-254-9  |18.02.2026|      1 |    0 |        1 |PZA|1.867,34 |EUR |P625216-01|  70| 1.867,34 |X       |5069960957|  70|</t>
  </si>
  <si>
    <t>|6500|4000000522 KRONES A.G.|1715412 |JUNTA TORICA 20X2 FKM 0-906-91-571-3|18.02.2026|      8 |    0 |        8 |PZA|    5,38 |EUR |P625216-01|  80|    43,04 |X       |5069960957|  80|</t>
  </si>
  <si>
    <t>|6500|4000000522 KRONES A.G.|1715412 |JUNTA TORICA 20X2 FKM 0-906-91-571-3|18.02.2026|      8 |    0 |        8 |PZA|    5,38 |EUR |P625216-01|  90|    43,04 |X       |5069960957|  90|</t>
  </si>
  <si>
    <t>|6500|4000000522 KRONES A.G.|1666265 |RODILLO DE APOYO 0-905-65-277-9     |18.02.2026|      8 |    0 |        8 |PZA|   18,32 |EUR |P625216-01| 100|   146,56 |X       |5069960957| 100|</t>
  </si>
  <si>
    <t>|6500|4000000522 KRONES A.G.|1378711 |MANDRIL 0-901-85-319-5              |18.02.2026|    290 |    0 |      290 |PZA|   47,00 |EUR |P625216-01| 110|13.630,00 |X       |5069960957| 120|</t>
  </si>
  <si>
    <t>|6500|4000000522 KRONES A.G.|1410284 |TUERCA 0-424-96-628-1               |18.02.2026|    290 |    0 |      290 |PZA|    0,26 |EUR |P625216-01| 120|    75,40 |X       |5069960957| 130|</t>
  </si>
  <si>
    <t>|6500|4000000522 KRONES A.G.|1514256 |ARANDELA / DISCO 0-901-85-983-2     |18.02.2026|    580 |    0 |      580 |PZA|   22,81 |EUR |P625216-01| 130|13.229,80 |X       |5069960957| 140|</t>
  </si>
  <si>
    <t>|6500|4000000522 KRONES A.G.|1764293 |CASQUILLO 0-901-45-839-9            |18.02.2026|    290 |    0 |      290 |PZA|    4,33 |EUR |P625216-01| 140| 1.255,70 |X       |5069960957| 150|</t>
  </si>
  <si>
    <t>|6500|4000000522 KRONES A.G.|1366030 |CONTRACOJINETE 0-902-06-150-1       |18.02.2026|    290 |    0 |      290 |PZA|    2,42 |EUR |P625216-01| 150|   701,80 |X       |5069960957| 170|</t>
  </si>
  <si>
    <t>|6500|4000000522 KRONES A.G.|1356167 |CASQUILLO JSM-1517-12 0-900-01-750-6|18.02.2026|    580 |    0 |      580 |PZA|    1,01 |EUR |P625216-01| 160|   585,80 |X       |5069960957| 180|</t>
  </si>
  <si>
    <t>COP</t>
  </si>
  <si>
    <t>Analista Inventarios</t>
  </si>
  <si>
    <t>Dir.Manufactura</t>
  </si>
  <si>
    <t>5069852728</t>
  </si>
  <si>
    <t>RETEN 0-161-80-184-5=0-900-37-618-9 [RC]</t>
  </si>
  <si>
    <t>P226001-01</t>
  </si>
  <si>
    <t>165.064,80</t>
  </si>
  <si>
    <t>28.02.2026</t>
  </si>
  <si>
    <t>ANILLO 0-169-04-344-9=0-901-33-240-5 [RC</t>
  </si>
  <si>
    <t>31.133,47</t>
  </si>
  <si>
    <t>ANILLO 0-169-04-436-9=0-901-24-722-2[RC]</t>
  </si>
  <si>
    <t>30.380,21</t>
  </si>
  <si>
    <t>ROD. BOLAS SKF 61826 0-400-30-819-1 [RC]</t>
  </si>
  <si>
    <t>520.063,81</t>
  </si>
  <si>
    <t>BOLA BOQU. ROSCADOR 0-406-02-100-2 [RCP]</t>
  </si>
  <si>
    <t>4.165,50</t>
  </si>
  <si>
    <t>KIT REPARACION VALV. CO2 0-955-90-167-9</t>
  </si>
  <si>
    <t>312.351,15</t>
  </si>
  <si>
    <t>02.12.2025</t>
  </si>
  <si>
    <t>CLAVIJA ROSCADA 0-624-13-922-2 [RCP]</t>
  </si>
  <si>
    <t>370,96</t>
  </si>
  <si>
    <t>O-RING 0-162-20-227-2 [RCP]</t>
  </si>
  <si>
    <t>1.495,47</t>
  </si>
  <si>
    <t>ARANDELA / DISCO 1-099-51-090-0 [P]</t>
  </si>
  <si>
    <t>6.876,38</t>
  </si>
  <si>
    <t>31.01.2026</t>
  </si>
  <si>
    <t>ANILLO SEGURIDAD 0-681-72-806-2 [RCP]</t>
  </si>
  <si>
    <t>3.772,51</t>
  </si>
  <si>
    <t>RODAMIENTO DE BOLAS 0-400-30-822-1 [RC]</t>
  </si>
  <si>
    <t>564.682,44</t>
  </si>
  <si>
    <t>ANILLO "O" 0-900-02-751-1</t>
  </si>
  <si>
    <t>1.411,63</t>
  </si>
  <si>
    <t>O-RING 0-162-20-082-6=0-900-06-027-6 [P]</t>
  </si>
  <si>
    <t>2.192,06</t>
  </si>
  <si>
    <t>RESORTE COMPRESION 1-099-04-481-0 [P]</t>
  </si>
  <si>
    <t>6.478,82</t>
  </si>
  <si>
    <t>COJINETE 0900010160=0-905-61-187-7</t>
  </si>
  <si>
    <t>316.059,03</t>
  </si>
  <si>
    <t>ARANDELA SEG. 0-681-94-808-2 [RCP]</t>
  </si>
  <si>
    <t>9.786,50</t>
  </si>
  <si>
    <t>ANILLO "O" 0162202376=0-900-06-025-9 [RC</t>
  </si>
  <si>
    <t>7.323,38</t>
  </si>
  <si>
    <t>EMPAQUE 0-029-71-072-3</t>
  </si>
  <si>
    <t>695.963,29</t>
  </si>
  <si>
    <t>ANILLO 5-000-29-016-9</t>
  </si>
  <si>
    <t>36.918,29</t>
  </si>
  <si>
    <t>MEMBRANA / DIAFRAGMA 5-000-29-027-3</t>
  </si>
  <si>
    <t>779.122,34</t>
  </si>
  <si>
    <t>ANILLO 5-000-29-027-4 [P]</t>
  </si>
  <si>
    <t>34.319,70</t>
  </si>
  <si>
    <t>O-RING 0-162-20-207-6=0-900-06-025-1 [RC</t>
  </si>
  <si>
    <t>7.608,23</t>
  </si>
  <si>
    <t>TUBO CILINDRIC X=256.1 1-800-18-909-9[P]</t>
  </si>
  <si>
    <t>484.888,61</t>
  </si>
  <si>
    <t>JUEGO DE JUNTAS 0-900-61-424-9</t>
  </si>
  <si>
    <t>2.513.595,61</t>
  </si>
  <si>
    <t>JUEGO DE PIEZAS DESGASTE 0-900-01-516-6</t>
  </si>
  <si>
    <t>231.460,54</t>
  </si>
  <si>
    <t>RODILLO 5-000-29-011-4</t>
  </si>
  <si>
    <t>296.572,90</t>
  </si>
  <si>
    <t>PIEZA PRESION 8-070-25-222-7</t>
  </si>
  <si>
    <t>6.867,22</t>
  </si>
  <si>
    <t>ARANDELA / DISCO 1-123-26-256-0</t>
  </si>
  <si>
    <t>21.724,97</t>
  </si>
  <si>
    <t>CASQUILLO XSM-1214-08 0-129-90-006-2</t>
  </si>
  <si>
    <t>21.923,63</t>
  </si>
  <si>
    <t>CORREA VSPA1657LW DIN7753 0-529-99-277-7</t>
  </si>
  <si>
    <t>94.107,45</t>
  </si>
  <si>
    <t>RUEDA DEN. 8-351-75-047-5=0-901-32-695-6</t>
  </si>
  <si>
    <t>2.764.919,84</t>
  </si>
  <si>
    <t>TORROIDAL ANILLO "O" 36*4 0-162-20-188-2</t>
  </si>
  <si>
    <t>3.774,08</t>
  </si>
  <si>
    <t>CUERPO ESPIRAL 8-900-04-625-3</t>
  </si>
  <si>
    <t>569.619,22</t>
  </si>
  <si>
    <t>ABRAZADERA 8-070-25-271-7</t>
  </si>
  <si>
    <t>301.452,98</t>
  </si>
  <si>
    <t>ABRAZADERA 8-070-25-271-8</t>
  </si>
  <si>
    <t>JGO DE PIEZAS DE DESGASTE 0-901-52-638-0</t>
  </si>
  <si>
    <t>165.932,47</t>
  </si>
  <si>
    <t>JUEGO JUNTAS 0-901-24-807-4 [RC]</t>
  </si>
  <si>
    <t>178.553,13</t>
  </si>
  <si>
    <t>EMPAQUETADURA 0-901-06-123-8</t>
  </si>
  <si>
    <t>43.942,57</t>
  </si>
  <si>
    <t>CONJUNTO DE SERVICIO 0-900-87-415-1</t>
  </si>
  <si>
    <t>5.895.430,85</t>
  </si>
  <si>
    <t>ANILLO "O" 27X3 70SH 0-900-06-028-8</t>
  </si>
  <si>
    <t>5.357,35</t>
  </si>
  <si>
    <t>ARO SIMMER. A35X 50X 7-NB 0-161-70-072-5</t>
  </si>
  <si>
    <t>52.014,82</t>
  </si>
  <si>
    <t>CASQUILLO 1-128-50-233-1</t>
  </si>
  <si>
    <t>58.935,36</t>
  </si>
  <si>
    <t>TORNILLO 0-900-70-605-2</t>
  </si>
  <si>
    <t>12.552,14</t>
  </si>
  <si>
    <t>ARANDELA / DISCO 0-900-92-793-4</t>
  </si>
  <si>
    <t>7.336,40</t>
  </si>
  <si>
    <t>TORNILLO M4X 50A2 DIN 912 0-623-73-065-2</t>
  </si>
  <si>
    <t>1.165,91</t>
  </si>
  <si>
    <t>SOPORTE 1-351-80-149-0</t>
  </si>
  <si>
    <t>2.531.542,43</t>
  </si>
  <si>
    <t>CASQUILLO 1-128-50-209-0</t>
  </si>
  <si>
    <t>10.877,88</t>
  </si>
  <si>
    <t>ANILLO ADAPTACION D=2,3 1-800-58-885-4</t>
  </si>
  <si>
    <t>32.811,07</t>
  </si>
  <si>
    <t>ABRAZADERA IZQUIERDA 0-901-76-478-2</t>
  </si>
  <si>
    <t>237.513,69</t>
  </si>
  <si>
    <t>ABRAZADERA DERECHA 0-901-76-478-4</t>
  </si>
  <si>
    <t>301.452,45</t>
  </si>
  <si>
    <t>RODAMIENTO 0901670825=0-902-49-863-6</t>
  </si>
  <si>
    <t>1.143.688,24</t>
  </si>
  <si>
    <t>RETEN PARA EJES 0-161-70-095-5</t>
  </si>
  <si>
    <t>21.913,28</t>
  </si>
  <si>
    <t>RODAMIENTO 6006 DIN625 0-905-66-981-5</t>
  </si>
  <si>
    <t>9.941,49</t>
  </si>
  <si>
    <t>EMPAQUE VALVULA 0-901-79-665-6</t>
  </si>
  <si>
    <t>58.972,90</t>
  </si>
  <si>
    <t>EMPAQUE VALVULA 0-901-79-671-8</t>
  </si>
  <si>
    <t>73.391,74</t>
  </si>
  <si>
    <t>ANILLO 0-902-54-135-6</t>
  </si>
  <si>
    <t>11.396,00</t>
  </si>
  <si>
    <t>ANILLO ADAPTACAO 1-800-18-561-9</t>
  </si>
  <si>
    <t>20.322,88</t>
  </si>
  <si>
    <t>COJINETE DE DESLIZAMIENTO 0-902-35-806-6</t>
  </si>
  <si>
    <t>7.559,68</t>
  </si>
  <si>
    <t>DIAFRAGMA PVP-96-213 5-007-60-003-5</t>
  </si>
  <si>
    <t>178.350,04</t>
  </si>
  <si>
    <t>EMPAQUE VALVULA DN80 EPDM 0-901-79-674-0</t>
  </si>
  <si>
    <t>99.358,87</t>
  </si>
  <si>
    <t>JGO DE PIEZAS DE DESGASTE 0-902-13-398-0</t>
  </si>
  <si>
    <t>1.246.200,97</t>
  </si>
  <si>
    <t>RESORTE DE COMPRESION 5-007-60-003-8</t>
  </si>
  <si>
    <t>108.271,18</t>
  </si>
  <si>
    <t>CARTUCHO FILTR 0184901240=0-902-21-637-5</t>
  </si>
  <si>
    <t>744.714,78</t>
  </si>
  <si>
    <t>CARTUCHO FILTRANTE 0-901-46-003-6</t>
  </si>
  <si>
    <t>620.548,01</t>
  </si>
  <si>
    <t>TORNILLO 0-625-20-000-1</t>
  </si>
  <si>
    <t>2.419,30</t>
  </si>
  <si>
    <t>CASQUILLO 5-001-29-006-9=0-900-00-361-4</t>
  </si>
  <si>
    <t>27.072,11</t>
  </si>
  <si>
    <t>SOPORTE  1-128-52-273-0</t>
  </si>
  <si>
    <t>606.614,15</t>
  </si>
  <si>
    <t>DESCARGADOR AGUA 0-184-90-008-1</t>
  </si>
  <si>
    <t>509.887,91</t>
  </si>
  <si>
    <t>MEMBR 0-169-90-047-5=0-902-76-984-3 [RCP</t>
  </si>
  <si>
    <t>28.391,75</t>
  </si>
  <si>
    <t>O-RING 0-162-20-012-8=0-900-06-024-2[RC]</t>
  </si>
  <si>
    <t>7.775,99</t>
  </si>
  <si>
    <t>PASADOR ABIERTO 2X20 A2 D 0-683-71-134-2</t>
  </si>
  <si>
    <t>521,98</t>
  </si>
  <si>
    <t>VARILLA EMPUJE 8-125-50-035-7 [P]</t>
  </si>
  <si>
    <t>27.526,41</t>
  </si>
  <si>
    <t>MED 0900567401=0901738080=0-905-15-061-5</t>
  </si>
  <si>
    <t>6.949.538,54</t>
  </si>
  <si>
    <t>O-RING 0-900-04-703-3 [P]</t>
  </si>
  <si>
    <t>1.604,30</t>
  </si>
  <si>
    <t>EJE 1-070-25-077-1</t>
  </si>
  <si>
    <t>136.868,34</t>
  </si>
  <si>
    <t>RODAMIENTO 6204-2RS 0-400-30-439-1 [RC]</t>
  </si>
  <si>
    <t>10.798,60</t>
  </si>
  <si>
    <t>ABRAZADERA 1-128-52-114-0</t>
  </si>
  <si>
    <t>120.287,54</t>
  </si>
  <si>
    <t>ABRAZADERA 1-128-52-115-0</t>
  </si>
  <si>
    <t>127.679,82</t>
  </si>
  <si>
    <t>ARANDELLA EMPAQUETADURA 1-224-50-031-0</t>
  </si>
  <si>
    <t>20.945,83</t>
  </si>
  <si>
    <t>ANILLO "O" 0-900-06-028-0</t>
  </si>
  <si>
    <t>5.357,76</t>
  </si>
  <si>
    <t>O-RING  7X2 0-162-20-011-7</t>
  </si>
  <si>
    <t>778,89</t>
  </si>
  <si>
    <t>ANILLO "O" 0-900-02-751-4</t>
  </si>
  <si>
    <t>3.162,17</t>
  </si>
  <si>
    <t>O-RING 0-162-20-121-2 [RCP]</t>
  </si>
  <si>
    <t>836,54</t>
  </si>
  <si>
    <t>O-RING 9X2 0-900-02-751-0</t>
  </si>
  <si>
    <t>1.362,95</t>
  </si>
  <si>
    <t>O-RING  34X2 0-900-02-751-7</t>
  </si>
  <si>
    <t>8.719,60</t>
  </si>
  <si>
    <t>FUELLE CONECTOR 8-125-50-040-6 [P]</t>
  </si>
  <si>
    <t>153.042,35</t>
  </si>
  <si>
    <t>CASQUILLO 0-129-90-003-7 [P]</t>
  </si>
  <si>
    <t>10.327,33</t>
  </si>
  <si>
    <t>ANILLO "O" 0-900-04-710-0</t>
  </si>
  <si>
    <t>4.091,73</t>
  </si>
  <si>
    <t>RESORTE COMPRESION 1-099-04-708-0</t>
  </si>
  <si>
    <t>52.898,72</t>
  </si>
  <si>
    <t>O-RING 0-162-20-005-8=0-162-20-012-4[RC]</t>
  </si>
  <si>
    <t>956,74</t>
  </si>
  <si>
    <t>MEMBRANA / DIAFRAGMA 0-900-41-624-7</t>
  </si>
  <si>
    <t>93.616,27</t>
  </si>
  <si>
    <t>RESORTE DE COMPRESION 0-023-70-005-1</t>
  </si>
  <si>
    <t>79.436,90</t>
  </si>
  <si>
    <t>EMPAQUETADURA 0-023-70-061-7 [RC]</t>
  </si>
  <si>
    <t>12.945,48</t>
  </si>
  <si>
    <t>ANILLO 0162201466=0-900-02-750-5 [RC]</t>
  </si>
  <si>
    <t>5.552,11</t>
  </si>
  <si>
    <t>O-RING 16X2 0-900-02-750-1 [P]</t>
  </si>
  <si>
    <t>2.484,75</t>
  </si>
  <si>
    <t>O-RING 0-162-20-012-6 [RCP]</t>
  </si>
  <si>
    <t>3.159,11</t>
  </si>
  <si>
    <t>O-RING 0-162-20-012-1 [RCP]</t>
  </si>
  <si>
    <t>3.209,29</t>
  </si>
  <si>
    <t>ANILLO 26x3 0162201367=0-162-20-011-3</t>
  </si>
  <si>
    <t>2.922,76</t>
  </si>
  <si>
    <t>PERNO DE RODILLO 0-900-91-036-7</t>
  </si>
  <si>
    <t>165.137,29</t>
  </si>
  <si>
    <t>CASQUILLO 1-128-52-073-0</t>
  </si>
  <si>
    <t>10.306,93</t>
  </si>
  <si>
    <t>O-RINGá 39X2 0-900-02-751-8</t>
  </si>
  <si>
    <t>8.700,91</t>
  </si>
  <si>
    <t>RODILLO 0-900-78-746-1</t>
  </si>
  <si>
    <t>141.804,31</t>
  </si>
  <si>
    <t>EMPAQUETADURA 0-023-70-002-3</t>
  </si>
  <si>
    <t>106.903,78</t>
  </si>
  <si>
    <t>EMPAQUETADURA 0-901-13-071-0</t>
  </si>
  <si>
    <t>89.806,49</t>
  </si>
  <si>
    <t>JGO PIEZAS DESGASTE 0-900-17-580-8</t>
  </si>
  <si>
    <t>828.051,85</t>
  </si>
  <si>
    <t>ANILLO "O" 0-162-20-241-2</t>
  </si>
  <si>
    <t>1.534,78</t>
  </si>
  <si>
    <t>ANILLO """"O"""" 0-900-02-750-2"""</t>
  </si>
  <si>
    <t>2.533,00</t>
  </si>
  <si>
    <t>ANILLO "O" 0-900-06-024-8</t>
  </si>
  <si>
    <t>7.599,55</t>
  </si>
  <si>
    <t>ANILLO SEGURIDAD 0-900-47-797-7</t>
  </si>
  <si>
    <t>10.477,31</t>
  </si>
  <si>
    <t>RESORTE COMPRESION 1-099-04-732-0</t>
  </si>
  <si>
    <t>12.505,29</t>
  </si>
  <si>
    <t>RODILLO 8-070-25-325-6</t>
  </si>
  <si>
    <t>70.529,37</t>
  </si>
  <si>
    <t>O-RING  20X2 0-900-04-805-4</t>
  </si>
  <si>
    <t>3.263,07</t>
  </si>
  <si>
    <t>RESORTE C 1-099-04-801-0=0-900-79-428-6</t>
  </si>
  <si>
    <t>28.448,06</t>
  </si>
  <si>
    <t>ARANDELA / DISCO 0-562-33-803-2 [P]</t>
  </si>
  <si>
    <t>1.744,75</t>
  </si>
  <si>
    <t>PIEZA PRESION 1-351-80-016-0 [P]</t>
  </si>
  <si>
    <t>5.723,57</t>
  </si>
  <si>
    <t>TUERCA 0-424-97-400-2</t>
  </si>
  <si>
    <t>3.674,24</t>
  </si>
  <si>
    <t>CASQUILLO 0-129-90-000-1 [P]</t>
  </si>
  <si>
    <t>5.525,53</t>
  </si>
  <si>
    <t>RODAMIENTO 0-903-39-235-7=0400600005 [RC</t>
  </si>
  <si>
    <t>59.324,07</t>
  </si>
  <si>
    <t>CASQUILLO 0-129-90-001-9 [P]</t>
  </si>
  <si>
    <t>4.643,72</t>
  </si>
  <si>
    <t>ANILLO "O" 0-900-02-750-6 [RC]</t>
  </si>
  <si>
    <t>1.142,95</t>
  </si>
  <si>
    <t>RODAMIENTO BOLAS 0-400-30-423-1 [RC]</t>
  </si>
  <si>
    <t>8.269,51</t>
  </si>
  <si>
    <t>O-RING 0-162-20-239-2 [RCP]</t>
  </si>
  <si>
    <t>1.534,51</t>
  </si>
  <si>
    <t>O-RING 0-162-14-415-2 [RCP]</t>
  </si>
  <si>
    <t>600,00</t>
  </si>
  <si>
    <t>EMPAQUET. 0-169-60-270-0=0-902-97-715-1</t>
  </si>
  <si>
    <t>23.164,11</t>
  </si>
  <si>
    <t>GUIA 0-168-39-991-0=0-902-29-271-5 [RCP]</t>
  </si>
  <si>
    <t>12.977,99</t>
  </si>
  <si>
    <t>BLOQUE DESLIZANTE 1-123-26-057-0 [P]</t>
  </si>
  <si>
    <t>83.030,82</t>
  </si>
  <si>
    <t>EMPAQUETADURA 0-023-70-060-7 [RC]</t>
  </si>
  <si>
    <t>10.050,39</t>
  </si>
  <si>
    <t>RODAMIEN. 6006-2RS DIN625 0-400-30-148-1</t>
  </si>
  <si>
    <t>9.085,67</t>
  </si>
  <si>
    <t>FUELLE 8-900-04-438-0 [RCP]</t>
  </si>
  <si>
    <t>467.778,04</t>
  </si>
  <si>
    <t>ARANDELA DE SEGURIDAD 1-123-26-182-0 [P]</t>
  </si>
  <si>
    <t>10.034,92</t>
  </si>
  <si>
    <t>MEMBRANA 0-902-01-719-6=5-000-29-409-0</t>
  </si>
  <si>
    <t>302.188,03</t>
  </si>
  <si>
    <t>MEMBRANA 5-000-29-409-1</t>
  </si>
  <si>
    <t>27.282,30</t>
  </si>
  <si>
    <t>ANILLO 1-123-26-213-0 [P]</t>
  </si>
  <si>
    <t>23.926,19</t>
  </si>
  <si>
    <t>EMPAQUETADURA 5-001-69-016-4</t>
  </si>
  <si>
    <t>18.244,55</t>
  </si>
  <si>
    <t>EMPAQUETADURA 5-001-69-016-5</t>
  </si>
  <si>
    <t>52.210,64</t>
  </si>
  <si>
    <t>EMPAQUETADURA 0-023-70-063-7 [RC]</t>
  </si>
  <si>
    <t>72.607,85</t>
  </si>
  <si>
    <t>EMPAQUETADURA 1-124-50-307-0 [P]</t>
  </si>
  <si>
    <t>8.134,90</t>
  </si>
  <si>
    <t>ANILLO ""O"" 0-900-06-012-8"</t>
  </si>
  <si>
    <t>4.197,10</t>
  </si>
  <si>
    <t>JUEGO JUNTAS 0-900-25-830-9 [P]</t>
  </si>
  <si>
    <t>132.526,32</t>
  </si>
  <si>
    <t>RODAMIENTO 6002-2RS  0-400-30-120-1 [RC]</t>
  </si>
  <si>
    <t>6.781,90</t>
  </si>
  <si>
    <t>RESORTE DE COMPRESION 0-900-80-077-3</t>
  </si>
  <si>
    <t>111.406,26</t>
  </si>
  <si>
    <t>RODAMI. 6000-2RS 0-400-30-106-1 [RC]</t>
  </si>
  <si>
    <t>19.467,22</t>
  </si>
  <si>
    <t>CASQUILLO DU 0-126-73-024-1 [P]</t>
  </si>
  <si>
    <t>5.808,84</t>
  </si>
  <si>
    <t>ARANDELA DE SEGURIDAD 1-123-26-130-0 [P]</t>
  </si>
  <si>
    <t>12.972,91</t>
  </si>
  <si>
    <t>PIEZA DE PRESION 1-123-26-034-0 [P]</t>
  </si>
  <si>
    <t>7.536,30</t>
  </si>
  <si>
    <t>EMP 0165001302=0902882758=0-902-93-880-9</t>
  </si>
  <si>
    <t>31.677,71</t>
  </si>
  <si>
    <t>RESORTE COMPRESION 1-099-04-028-0 [P]</t>
  </si>
  <si>
    <t>4.744,21</t>
  </si>
  <si>
    <t>ANILLO SEGU 48X1,75 0-681-90-000-0 [RCP]</t>
  </si>
  <si>
    <t>11.763,31</t>
  </si>
  <si>
    <t>TORNILLO M4X20  A2 DIN912 0-623-73-034-2</t>
  </si>
  <si>
    <t>3.204,53</t>
  </si>
  <si>
    <t>ANILLO "O" 0-900-76-402-3</t>
  </si>
  <si>
    <t>127.123,72</t>
  </si>
  <si>
    <t>EMPAQUETADURA 0-900-75-614-7</t>
  </si>
  <si>
    <t>134.680,92</t>
  </si>
  <si>
    <t>RODILLO 1-120-26-132-0 [P]</t>
  </si>
  <si>
    <t>97.656,42</t>
  </si>
  <si>
    <t>ARANDELA / DISCO 1-099-52-133-0</t>
  </si>
  <si>
    <t>6.478,85</t>
  </si>
  <si>
    <t>RODILLO APOYO 0-403-40-000-1 [RC]</t>
  </si>
  <si>
    <t>104.530,67</t>
  </si>
  <si>
    <t>ANILLO ""O"" 0-900-06-028-2"</t>
  </si>
  <si>
    <t>3.023,52</t>
  </si>
  <si>
    <t>JUEGO PIEZAS REPARACION 0-900-03-951-9</t>
  </si>
  <si>
    <t>1.467.051,70</t>
  </si>
  <si>
    <t>ANILLO "O" 1800381478=0-900-81-516-7</t>
  </si>
  <si>
    <t>76.915,58</t>
  </si>
  <si>
    <t>JUNTA TORICA 1800381479 = 0-900-81-522-1</t>
  </si>
  <si>
    <t>274.543,39</t>
  </si>
  <si>
    <t>RESORTE DE COMPRESION 1-099-04-773-0</t>
  </si>
  <si>
    <t>43.845,40</t>
  </si>
  <si>
    <t>ANILLO ""O"" 0-900-09-361-3"</t>
  </si>
  <si>
    <t>6.092,85</t>
  </si>
  <si>
    <t>TORNILLO 0-625-55-524-8=0-903-27-254-8</t>
  </si>
  <si>
    <t>1.621,39</t>
  </si>
  <si>
    <t>TORNIL. 0628439242=0900942930=0905150188</t>
  </si>
  <si>
    <t>1.937,45</t>
  </si>
  <si>
    <t>TORNILLO P/SOPORTE BOT. 1-128-52-067-0</t>
  </si>
  <si>
    <t>19.245,79</t>
  </si>
  <si>
    <t>EMPAQUETADURA 5-001-69-016-6</t>
  </si>
  <si>
    <t>2.533.658,88</t>
  </si>
  <si>
    <t>ANILLO DE EMPAQUETADURA 0-168-35-000-3</t>
  </si>
  <si>
    <t>6.457,01</t>
  </si>
  <si>
    <t>ANILLO 1-800-78-890-3</t>
  </si>
  <si>
    <t>866.857,26</t>
  </si>
  <si>
    <t xml:space="preserve">[ 10 ] 1033198 , RETEN 0-161-80-184-5=0-900-37-618-9 [RC]                                                                                                                                                                                                      </t>
  </si>
  <si>
    <t xml:space="preserve">[ 20 ] 1033199 , ANILLO 0-169-04-344-9=0-901-33-240-5 [RC                                                                                                                                                                                                      </t>
  </si>
  <si>
    <t xml:space="preserve">[ 30 ] 1033200 , ANILLO 0-169-04-436-9=0-901-24-722-2[RC]                                                                                                                                                                                                      </t>
  </si>
  <si>
    <t xml:space="preserve">[ 40 ] 1120727 , ROD. BOLAS SKF 61826 0-400-30-819-1 [RC]                                                                                                                                                                                                      </t>
  </si>
  <si>
    <t xml:space="preserve">[ 50 ] 1133673 , BOLA BOQU. ROSCADOR 0-406-02-100-2 [RCP]                                                                                                                                                                                                      </t>
  </si>
  <si>
    <t>Sin liberar</t>
  </si>
  <si>
    <t xml:space="preserve">[ 60 ] 1136370 , KIT REPARACION VALV. CO2 0-955-90-167-9                                                                                                                                                                                                       </t>
  </si>
  <si>
    <t xml:space="preserve">[ 70 ] 1141002 , CLAVIJA ROSCADA 0-624-13-922-2 [RCP]                                                                                                                                                                                                          </t>
  </si>
  <si>
    <t xml:space="preserve">[ 80 ] 1144384 , O-RING 0-162-20-227-2 [RCP]                                                                                                                                                                                                                   </t>
  </si>
  <si>
    <t xml:space="preserve">[ 90 ] 1144475 , ARANDELA / DISCO 1-099-51-090-0 [P]                                                                                                                                                                                                           </t>
  </si>
  <si>
    <t xml:space="preserve">[ 100 ] 1155826 , ANILLO SEGURIDAD 0-681-72-806-2 [RCP]                                                                                                                                                                                                        </t>
  </si>
  <si>
    <t xml:space="preserve">[ 110 ] 1167121 , RODAMIENTO DE BOLAS 0-400-30-822-1 [RC]                                                                                                                                                                                                      </t>
  </si>
  <si>
    <t xml:space="preserve">[ 120 ] 1167173 , ANILLO "O" 0-900-02-751-1                                                                                                                                                                                                                    </t>
  </si>
  <si>
    <t xml:space="preserve">[ 130 ] 1167306 , O-RING 0-162-20-082-6=0-900-06-027-6 [P]                                                                                                                                                                                                     </t>
  </si>
  <si>
    <t xml:space="preserve">[ 140 ] 1167313 , RESORTE COMPRESION 1-099-04-481-0 [P]                                                                                                                                                                                                        </t>
  </si>
  <si>
    <t xml:space="preserve">[ 150 ] 1167363 , COJINETE 0900010160=0-905-61-187-7                                                                                                                                                                                                           </t>
  </si>
  <si>
    <t xml:space="preserve">[ 160 ] 1167364 , ARANDELA SEG. 0-681-94-808-2 [RCP]                                                                                                                                                                                                           </t>
  </si>
  <si>
    <t xml:space="preserve">[ 170 ] 1167372 , ANILLO "O" 0162202376=0-900-06-025-9 [RC                                                                                                                                                                                                     </t>
  </si>
  <si>
    <t xml:space="preserve">[ 180 ] 1167373 , EMPAQUE 0-029-71-072-3                                                                                                                                                                                                                       </t>
  </si>
  <si>
    <t xml:space="preserve">[ 190 ] 1167375 , ANILLO 5-000-29-016-9                                                                                                                                                                                                                        </t>
  </si>
  <si>
    <t xml:space="preserve">[ 200 ] 1167376 , MEMBRANA / DIAFRAGMA 5-000-29-027-3                                                                                                                                                                                                          </t>
  </si>
  <si>
    <t xml:space="preserve">[ 210 ] 1167377 , ANILLO 5-000-29-027-4 [P]                                                                                                                                                                                                                    </t>
  </si>
  <si>
    <t xml:space="preserve">[ 220 ] 1167385 , O-RING 0-162-20-207-6=0-900-06-025-1 [RC                                                                                                                                                                                                     </t>
  </si>
  <si>
    <t xml:space="preserve">[ 230 ] 1195659 , TUBO CILINDRIC X=256.1 1-800-18-909-9[P]                                                                                                                                                                                                     </t>
  </si>
  <si>
    <t xml:space="preserve">[ 240 ] 1196731 , JUEGO DE JUNTAS 0-900-61-424-9                                                                                                                                                                                                               </t>
  </si>
  <si>
    <t xml:space="preserve">[ 250 ] 1196733 , JUEGO DE PIEZAS DESGASTE 0-900-01-516-6                                                                                                                                                                                                      </t>
  </si>
  <si>
    <t xml:space="preserve">[ 260 ] 1196735 , RODILLO 5-000-29-011-4                                                                                                                                                                                                                       </t>
  </si>
  <si>
    <t xml:space="preserve">[ 270 ] 1227034 , PIEZA PRESION 8-070-25-222-7                                                                                                                                                                                                                 </t>
  </si>
  <si>
    <t xml:space="preserve">[ 280 ] 1234098 , ARANDELA / DISCO 1-123-26-256-0                                                                                                                                                                                                              </t>
  </si>
  <si>
    <t xml:space="preserve">[ 290 ] 1234255 , CASQUILLO XSM-1214-08 0-129-90-006-2                                                                                                                                                                                                         </t>
  </si>
  <si>
    <t xml:space="preserve">[ 300 ] 1244900 , CORREA VSPA1657LW DIN7753 0-529-99-277-7                                                                                                                                                                                                     </t>
  </si>
  <si>
    <t xml:space="preserve">[ 310 ] 1245288 , RUEDA DEN. 8-351-75-047-5=0-901-32-695-6                                                                                                                                                                                                     </t>
  </si>
  <si>
    <t xml:space="preserve">[ 320 ] 1246747 , TORROIDAL ANILLO "O" 36*4 0-162-20-188-2                                                                                                                                                                                                     </t>
  </si>
  <si>
    <t xml:space="preserve">[ 330 ] 1259474 , CUERPO ESPIRAL 8-900-04-625-3                                                                                                                                                                                                                </t>
  </si>
  <si>
    <t xml:space="preserve">[ 340 ] 1259488 , ABRAZADERA 8-070-25-271-7                                                                                                                                                                                                                    </t>
  </si>
  <si>
    <t xml:space="preserve">[ 350 ] 1259489 , ABRAZADERA 8-070-25-271-8                                                                                                                                                                                                                    </t>
  </si>
  <si>
    <t xml:space="preserve">[ 360 ] 1279131 , JGO DE PIEZAS DE DESGASTE 0-901-52-638-0                                                                                                                                                                                                     </t>
  </si>
  <si>
    <t xml:space="preserve">[ 370 ] 1279148 , JUEGO JUNTAS 0-901-24-807-4 [RC]                                                                                                                                                                                                             </t>
  </si>
  <si>
    <t xml:space="preserve">[ 380 ] 1279158 , EMPAQUETADURA 0-901-06-123-8                                                                                                                                                                                                                 </t>
  </si>
  <si>
    <t xml:space="preserve">[ 390 ] 1279168 , CONJUNTO DE SERVICIO 0-900-87-415-1                                                                                                                                                                                                          </t>
  </si>
  <si>
    <t xml:space="preserve">[ 400 ] 1279201 , ANILLO "O" 27X3 70SH 0-900-06-028-8                                                                                                                                                                                                          </t>
  </si>
  <si>
    <t xml:space="preserve">[ 410 ] 1279213 , ARO SIMMER. A35X 50X 7-NB 0-161-70-072-5                                                                                                                                                                                                     </t>
  </si>
  <si>
    <t xml:space="preserve">[ 420 ] 1288165 , CASQUILLO 1-128-50-233-1                                                                                                                                                                                                                     </t>
  </si>
  <si>
    <t xml:space="preserve">[ 430 ] 1288172 , TORNILLO 0-900-70-605-2                                                                                                                                                                                                                      </t>
  </si>
  <si>
    <t xml:space="preserve">[ 440 ] 1301975 , ARANDELA / DISCO 0-900-92-793-4                                                                                                                                                                                                              </t>
  </si>
  <si>
    <t xml:space="preserve">[ 450 ] 1303688 , TORNILLO M4X 50A2 DIN 912 0-623-73-065-2                                                                                                                                                                                                     </t>
  </si>
  <si>
    <t xml:space="preserve">[ 460 ] 1321090 , SOPORTE 1-351-80-149-0                                                                                                                                                                                                                       </t>
  </si>
  <si>
    <t xml:space="preserve">[ 470 ] 1321469 , CASQUILLO 1-128-50-209-0                                                                                                                                                                                                                     </t>
  </si>
  <si>
    <t xml:space="preserve">[ 480 ] 1323537 , ANILLO ADAPTACION D=2,3 1-800-58-885-4                                                                                                                                                                                                       </t>
  </si>
  <si>
    <t xml:space="preserve">[ 490 ] 1323972 , ABRAZADERA IZQUIERDA 0-901-76-478-2                                                                                                                                                                                                          </t>
  </si>
  <si>
    <t xml:space="preserve">[ 500 ] 1323973 , ABRAZADERA DERECHA 0-901-76-478-4                                                                                                                                                                                                            </t>
  </si>
  <si>
    <t xml:space="preserve">[ 510 ] 1327637 , RODAMIENTO 0901670825=0-902-49-863-6                                                                                                                                                                                                         </t>
  </si>
  <si>
    <t xml:space="preserve">[ 520 ] 1354237 , RETEN PARA EJES 0-161-70-095-5                                                                                                                                                                                                               </t>
  </si>
  <si>
    <t xml:space="preserve">[ 530 ] 1354242 , RODAMIENTO 6006 DIN625 0-905-66-981-5                                                                                                                                                                                                        </t>
  </si>
  <si>
    <t xml:space="preserve">[ 540 ] 1355945 , EMPAQUE VALVULA 0-901-79-665-6                                                                                                                                                                                                               </t>
  </si>
  <si>
    <t xml:space="preserve">[ 550 ] 1355946 , EMPAQUE VALVULA 0-901-79-671-8                                                                                                                                                                                                               </t>
  </si>
  <si>
    <t xml:space="preserve">[ 560 ] 1355947 , ANILLO 0-902-54-135-6                                                                                                                                                                                                                        </t>
  </si>
  <si>
    <t xml:space="preserve">[ 570 ] 1356259 , ANILLO ADAPTACAO 1-800-18-561-9                                                                                                                                                                                                              </t>
  </si>
  <si>
    <t xml:space="preserve">[ 580 ] 1358206 , COJINETE DE DESLIZAMIENTO 0-902-35-806-6                                                                                                                                                                                                     </t>
  </si>
  <si>
    <t xml:space="preserve">[ 590 ] 1360840 , DIAFRAGMA PVP-96-213 5-007-60-003-5                                                                                                                                                                                                          </t>
  </si>
  <si>
    <t xml:space="preserve">[ 600 ] 1377305 , EMPAQUE VALVULA DN80 EPDM 0-901-79-674-0                                                                                                                                                                                                     </t>
  </si>
  <si>
    <t xml:space="preserve">[ 610 ] 1435548 , JGO DE PIEZAS DE DESGASTE 0-902-13-398-0                                                                                                                                                                                                     </t>
  </si>
  <si>
    <t xml:space="preserve">[ 620 ] 1439349 , RESORTE DE COMPRESION 5-007-60-003-8                                                                                                                                                                                                         </t>
  </si>
  <si>
    <t xml:space="preserve">[ 630 ] 1453998 , CARTUCHO FILTR 0184901240=0-902-21-637-5                                                                                                                                                                                                     </t>
  </si>
  <si>
    <t xml:space="preserve">[ 640 ] 1454037 , CARTUCHO FILTRANTE 0-901-46-003-6                                                                                                                                                                                                            </t>
  </si>
  <si>
    <t xml:space="preserve">[ 650 ] 1458326 , TORNILLO 0-625-20-000-1                                                                                                                                                                                                                      </t>
  </si>
  <si>
    <t xml:space="preserve">[ 660 ] 1474059 , CASQUILLO 5-001-29-006-9=0-900-00-361-4                                                                                                                                                                                                      </t>
  </si>
  <si>
    <t xml:space="preserve">[ 670 ] 1499474 , SOPORTE  1-128-52-273-0                                                                                                                                                                                                                      </t>
  </si>
  <si>
    <t xml:space="preserve">[ 680 ] 1530009 , DESCARGADOR AGUA 0-184-90-008-1                                                                                                                                                                                                              </t>
  </si>
  <si>
    <t xml:space="preserve">[ 690 ] 1560484 , MEMBR 0-169-90-047-5=0-902-76-984-3 [RCP                                                                                                                                                                                                     </t>
  </si>
  <si>
    <t xml:space="preserve">[ 700 ] 1560485 , O-RING 0-162-20-012-8=0-900-06-024-2[RC]                                                                                                                                                                                                     </t>
  </si>
  <si>
    <t xml:space="preserve">[ 710 ] 1560491 , PASADOR ABIERTO 2X20 A2 D 0-683-71-134-2                                                                                                                                                                                                     </t>
  </si>
  <si>
    <t xml:space="preserve">[ 720 ] 1560496 , VARILLA EMPUJE 8-125-50-035-7 [P]                                                                                                                                                                                                            </t>
  </si>
  <si>
    <t xml:space="preserve">[ 730 ] 1560502 , MED 0900567401=0901738080=0-905-15-061-5                                                                                                                                                                                                     </t>
  </si>
  <si>
    <t xml:space="preserve">[ 740 ] 1561799 , O-RING 0-900-04-703-3 [P]                                                                                                                                                                                                                    </t>
  </si>
  <si>
    <t xml:space="preserve">[ 750 ] 1561800 , EJE 1-070-25-077-1                                                                                                                                                                                                                           </t>
  </si>
  <si>
    <t xml:space="preserve">[ 760 ] 1561803 , RODAMIENTO 6204-2RS 0-400-30-439-1 [RC]                                                                                                                                                                                                      </t>
  </si>
  <si>
    <t xml:space="preserve">[ 770 ] 1561806 , ABRAZADERA 1-128-52-114-0                                                                                                                                                                                                                    </t>
  </si>
  <si>
    <t xml:space="preserve">[ 780 ] 1561807 , ABRAZADERA 1-128-52-115-0                                                                                                                                                                                                                    </t>
  </si>
  <si>
    <t xml:space="preserve">[ 790 ] 1561822 , ARANDELLA EMPAQUETADURA 1-224-50-031-0                                                                                                                                                                                                       </t>
  </si>
  <si>
    <t xml:space="preserve">[ 800 ] 1563133 , ANILLO "O" 0-900-06-028-0                                                                                                                                                                                                                    </t>
  </si>
  <si>
    <t xml:space="preserve">[ 810 ] 1563265 , O-RING  7X2 0-162-20-011-7                                                                                                                                                                                                                  </t>
  </si>
  <si>
    <t xml:space="preserve">[ 820 ] 1563267 , ANILLO "O" 0-900-02-751-4                                                                                                                                                                                                                    </t>
  </si>
  <si>
    <t xml:space="preserve">[ 830 ] 1563268 , O-RING 0-162-20-121-2 [RCP]                                                                                                                                                                                                                  </t>
  </si>
  <si>
    <t xml:space="preserve">[ 840 ] 1563269 , O-RING 9X2 0-900-02-751-0                                                                                                                                                                                                                   </t>
  </si>
  <si>
    <t xml:space="preserve">[ 850 ] 1563270 , O-RING  34X2 0-900-02-751-7                                                                                                                                                                                                                 </t>
  </si>
  <si>
    <t xml:space="preserve">[ 860 ] 1563271 , FUELLE CONECTOR 8-125-50-040-6 [P]                                                                                                                                                                                                           </t>
  </si>
  <si>
    <t xml:space="preserve">[ 870 ] 1563272 , CASQUILLO 0-129-90-003-7 [P]                                                                                                                                                                                                                 </t>
  </si>
  <si>
    <t xml:space="preserve">[ 880 ] 1563273 , ANILLO "O" 0-900-04-710-0                                                                                                                                                                                                                    </t>
  </si>
  <si>
    <t xml:space="preserve">[ 890 ] 1563274 , RESORTE COMPRESION 1-099-04-708-0                                                                                                                                                                                                            </t>
  </si>
  <si>
    <t xml:space="preserve">[ 900 ] 1563572 , O-RING 0-162-20-005-8=0-162-20-012-4[RC]                                                                                                                                                                                                     </t>
  </si>
  <si>
    <t xml:space="preserve">[ 910 ] 1569942 , MEMBRANA / DIAFRAGMA 0-900-41-624-7                                                                                                                                                                                                          </t>
  </si>
  <si>
    <t xml:space="preserve">[ 920 ] 1569943 , RESORTE DE COMPRESION 0-023-70-005-1                                                                                                                                                                                                         </t>
  </si>
  <si>
    <t xml:space="preserve">[ 930 ] 1570108 , EMPAQUETADURA 0-023-70-061-7 [RC]                                                                                                                                                                                                            </t>
  </si>
  <si>
    <t xml:space="preserve">[ 940 ] 1570109 , ANILLO 0162201466=0-900-02-750-5 [RC]                                                                                                                                                                                                        </t>
  </si>
  <si>
    <t xml:space="preserve">[ 950 ] 1570110 , O-RING 16X2 0-900-02-750-1 [P]                                                                                                                                                                                                               </t>
  </si>
  <si>
    <t xml:space="preserve">[ 960 ] 1570111 , O-RING 0-162-20-012-6 [RCP]                                                                                                                                                                                                                  </t>
  </si>
  <si>
    <t xml:space="preserve">[ 970 ] 1570112 , O-RING 0-162-20-012-1 [RCP]                                                                                                                                                                                                                  </t>
  </si>
  <si>
    <t xml:space="preserve">[ 980 ] 1570114 , ANILLO 26x3 0162201367=0-162-20-011-3                                                                                                                                                                                                        </t>
  </si>
  <si>
    <t xml:space="preserve">[ 990 ] 1570125 , PERNO DE RODILLO 0-900-91-036-7                                                                                                                                                                                                              </t>
  </si>
  <si>
    <t xml:space="preserve">[ 1000 ] 1570130 , CASQUILLO 1-128-52-073-0                                                                                                                                                                                                                    </t>
  </si>
  <si>
    <t xml:space="preserve">[ 1010 ] 1570131 , O-RINGá 39X2 0-900-02-751-8                                                                                                                                                                                                                </t>
  </si>
  <si>
    <t xml:space="preserve">[ 1020 ] 1570138 , RODILLO 0-900-78-746-1                                                                                                                                                                                                                      </t>
  </si>
  <si>
    <t xml:space="preserve">[ 1030 ] 1570145 , EMPAQUETADURA 0-023-70-002-3                                                                                                                                                                                                                </t>
  </si>
  <si>
    <t xml:space="preserve">[ 1040 ] 1570151 , EMPAQUETADURA 0-901-13-071-0                                                                                                                                                                                                                </t>
  </si>
  <si>
    <t xml:space="preserve">[ 1050 ] 1570154 , JGO PIEZAS DESGASTE 0-900-17-580-8                                                                                                                                                                                                          </t>
  </si>
  <si>
    <t xml:space="preserve">[ 1060 ] 1571560 , ANILLO "O" 0-162-20-241-2                                                                                                                                                                                                                   </t>
  </si>
  <si>
    <t xml:space="preserve">[ 1070 ] 1571561 , ANILLO """"O"""" 0-900-02-750-2"""                                                                                                                                                                                                          </t>
  </si>
  <si>
    <t xml:space="preserve">[ 1080 ] 1571562 , ANILLO "O" 0-900-06-024-8                                                                                                                                                                                                                   </t>
  </si>
  <si>
    <t xml:space="preserve">[ 1090 ] 1571563 , ANILLO SEGURIDAD 0-900-47-797-7                                                                                                                                                                                                             </t>
  </si>
  <si>
    <t xml:space="preserve">[ 1100 ] 1571585 , RESORTE COMPRESION 1-099-04-732-0                                                                                                                                                                                                           </t>
  </si>
  <si>
    <t xml:space="preserve">[ 1110 ] 1571587 , RODILLO 8-070-25-325-6                                                                                                                                                                                                                      </t>
  </si>
  <si>
    <t xml:space="preserve">[ 1120 ] 1571592 , O-RING  20X2 0-900-04-805-4                                                                                                                                                                                                                </t>
  </si>
  <si>
    <t xml:space="preserve">[ 1130 ] 1571595 , RESORTE C 1-099-04-801-0=0-900-79-428-6                                                                                                                                                                                                     </t>
  </si>
  <si>
    <t xml:space="preserve">[ 1140 ] 1571597 , ARANDELA / DISCO 0-562-33-803-2 [P]                                                                                                                                                                                                         </t>
  </si>
  <si>
    <t xml:space="preserve">[ 1150 ] 1571599 , PIEZA PRESION 1-351-80-016-0 [P]                                                                                                                                                                                                            </t>
  </si>
  <si>
    <t xml:space="preserve">[ 1160 ] 1571600 , TUERCA 0-424-97-400-2                                                                                                                                                                                                                       </t>
  </si>
  <si>
    <t xml:space="preserve">[ 1170 ] 1571601 , CASQUILLO 0-129-90-000-1 [P]                                                                                                                                                                                                                </t>
  </si>
  <si>
    <t xml:space="preserve">[ 1180 ] 1571602 , RODAMIENTO 0-903-39-235-7=0400600005 [RC                                                                                                                                                                                                    </t>
  </si>
  <si>
    <t xml:space="preserve">[ 1190 ] 1571603 , CASQUILLO 0-129-90-001-9 [P]                                                                                                                                                                                                                </t>
  </si>
  <si>
    <t xml:space="preserve">[ 1200 ] 1571604 , ANILLO "O" 0-900-02-750-6 [RC]                                                                                                                                                                                                              </t>
  </si>
  <si>
    <t xml:space="preserve">[ 1210 ] 1571608 , RODAMIENTO BOLAS 0-400-30-423-1 [RC]                                                                                                                                                                                                        </t>
  </si>
  <si>
    <t xml:space="preserve">[ 1220 ] 1571614 , O-RING 0-162-20-239-2 [RCP]                                                                                                                                                                                                                 </t>
  </si>
  <si>
    <t xml:space="preserve">[ 1230 ] 1571615 , O-RING 0-162-14-415-2 [RCP]                                                                                                                                                                                                                 </t>
  </si>
  <si>
    <t xml:space="preserve">[ 1240 ] 1571616 , EMPAQUET. 0-169-60-270-0=0-902-97-715-1                                                                                                                                                                                                     </t>
  </si>
  <si>
    <t xml:space="preserve">[ 1250 ] 1571617 , GUIA 0-168-39-991-0=0-902-29-271-5 [RCP]                                                                                                                                                                                                    </t>
  </si>
  <si>
    <t xml:space="preserve">[ 1260 ] 1571618 , BLOQUE DESLIZANTE 1-123-26-057-0 [P]                                                                                                                                                                                                        </t>
  </si>
  <si>
    <t xml:space="preserve">[ 1270 ] 1571623 , EMPAQUETADURA 0-023-70-060-7 [RC]                                                                                                                                                                                                           </t>
  </si>
  <si>
    <t xml:space="preserve">[ 1290 ] 1574865 , RODAMIEN. 6006-2RS DIN625 0-400-30-148-1                                                                                                                                                                                                    </t>
  </si>
  <si>
    <t xml:space="preserve">[ 1300 ] 1574888 , FUELLE 8-900-04-438-0 [RCP]                                                                                                                                                                                                                 </t>
  </si>
  <si>
    <t xml:space="preserve">[ 1310 ] 1574892 , ARANDELA DE SEGURIDAD 1-123-26-182-0 [P]                                                                                                                                                                                                    </t>
  </si>
  <si>
    <t xml:space="preserve">[ 1320 ] 1574903 , MEMBRANA 0-902-01-719-6=5-000-29-409-0                                                                                                                                                                                                      </t>
  </si>
  <si>
    <t xml:space="preserve">[ 1330 ] 1574904 , MEMBRANA 5-000-29-409-1                                                                                                                                                                                                                     </t>
  </si>
  <si>
    <t xml:space="preserve">[ 1340 ] 1574905 , ANILLO 1-123-26-213-0 [P]                                                                                                                                                                                                                   </t>
  </si>
  <si>
    <t xml:space="preserve">[ 1350 ] 1574906 , EMPAQUETADURA 5-001-69-016-4                                                                                                                                                                                                                </t>
  </si>
  <si>
    <t xml:space="preserve">[ 1360 ] 1574907 , EMPAQUETADURA 5-001-69-016-5                                                                                                                                                                                                                </t>
  </si>
  <si>
    <t xml:space="preserve">[ 1370 ] 1574909 , EMPAQUETADURA 0-023-70-063-7 [RC]                                                                                                                                                                                                           </t>
  </si>
  <si>
    <t xml:space="preserve">[ 1380 ] 1574919 , EMPAQUETADURA 1-124-50-307-0 [P]                                                                                                                                                                                                            </t>
  </si>
  <si>
    <t xml:space="preserve">[ 1390 ] 1574920 , ANILLO ""O"" 0-900-06-012-8"                                                                                                                                                                                                                </t>
  </si>
  <si>
    <t xml:space="preserve">[ 1400 ] 1574921 , JUEGO JUNTAS 0-900-25-830-9 [P]                                                                                                                                                                                                             </t>
  </si>
  <si>
    <t xml:space="preserve">[ 1410 ] 1574925 , RODAMIENTO 6002-2RS  0-400-30-120-1 [RC]                                                                                                                                                                                                    </t>
  </si>
  <si>
    <t xml:space="preserve">[ 1420 ] 1574939 , RESORTE DE COMPRESION 0-900-80-077-3                                                                                                                                                                                                        </t>
  </si>
  <si>
    <t xml:space="preserve">[ 1430 ] 1574945 , RODAMI. 6000-2RS 0-400-30-106-1 [RC]                                                                                                                                                                                                        </t>
  </si>
  <si>
    <t xml:space="preserve">[ 1440 ] 1574967 , CASQUILLO DU 0-126-73-024-1 [P]                                                                                                                                                                                                             </t>
  </si>
  <si>
    <t xml:space="preserve">[ 1450 ] 1574968 , ARANDELA DE SEGURIDAD 1-123-26-130-0 [P]                                                                                                                                                                                                    </t>
  </si>
  <si>
    <t xml:space="preserve">[ 1460 ] 1574969 , PIEZA DE PRESION 1-123-26-034-0 [P]                                                                                                                                                                                                         </t>
  </si>
  <si>
    <t xml:space="preserve">[ 1470 ] 1574970 , EMP 0165001302=0902882758=0-902-93-880-9                                                                                                                                                                                                    </t>
  </si>
  <si>
    <t xml:space="preserve">[ 1480 ] 1574971 , RESORTE COMPRESION 1-099-04-028-0 [P]                                                                                                                                                                                                       </t>
  </si>
  <si>
    <t xml:space="preserve">[ 1490 ] 1574972 , ANILLO SEGU 48X1,75 0-681-90-000-0 [RCP]                                                                                                                                                                                                    </t>
  </si>
  <si>
    <t xml:space="preserve">[ 1500 ] 1574984 , TORNILLO M4X20  A2 DIN912 0-623-73-034-2                                                                                                                                                                                                    </t>
  </si>
  <si>
    <t xml:space="preserve">[ 1510 ] 1574999 , ANILLO "O" 0-900-76-402-3                                                                                                                                                                                                                   </t>
  </si>
  <si>
    <t xml:space="preserve">[ 1520 ] 1575001 , EMPAQUETADURA 0-900-75-614-7                                                                                                                                                                                                                </t>
  </si>
  <si>
    <t xml:space="preserve">[ 1530 ] 1575011 , RODILLO 1-120-26-132-0 [P]                                                                                                                                                                                                                  </t>
  </si>
  <si>
    <t xml:space="preserve">[ 1540 ] 1575026 , ARANDELA / DISCO 1-099-52-133-0                                                                                                                                                                                                             </t>
  </si>
  <si>
    <t xml:space="preserve">[ 1550 ] 1575037 , RODILLO APOYO 0-403-40-000-1 [RC]                                                                                                                                                                                                           </t>
  </si>
  <si>
    <t xml:space="preserve">[ 1560 ] 1575048 , ANILLO ""O"" 0-900-06-028-2"                                                                                                                                                                                                                </t>
  </si>
  <si>
    <t xml:space="preserve">[ 1570 ] 1575074 , JUEGO PIEZAS REPARACION 0-900-03-951-9                                                                                                                                                                                                      </t>
  </si>
  <si>
    <t xml:space="preserve">[ 1580 ] 1575075 , ANILLO "O" 1800381478=0-900-81-516-7                                                                                                                                                                                                        </t>
  </si>
  <si>
    <t xml:space="preserve">[ 1590 ] 1575076 , JUNTA TORICA 1800381479 = 0-900-81-522-1                                                                                                                                                                                                    </t>
  </si>
  <si>
    <t xml:space="preserve">[ 1600 ] 1575080 , RESORTE DE COMPRESION 1-099-04-773-0                                                                                                                                                                                                        </t>
  </si>
  <si>
    <t xml:space="preserve">[ 1610 ] 1575082 , ANILLO ""O"" 0-900-09-361-3"                                                                                                                                                                                                                </t>
  </si>
  <si>
    <t xml:space="preserve">[ 1620 ] 1575088 , TORNILLO 0-625-55-524-8=0-903-27-254-8                                                                                                                                                                                                      </t>
  </si>
  <si>
    <t xml:space="preserve">[ 1630 ] 1575094 , TORNIL. 0628439242=0900942930=0905150188                                                                                                                                                                                                    </t>
  </si>
  <si>
    <t xml:space="preserve">[ 1640 ] 1575140 , TORNILLO P/SOPORTE BOT. 1-128-52-067-0                                                                                                                                                                                                      </t>
  </si>
  <si>
    <t xml:space="preserve">[ 1650 ] 1575145 , EMPAQUETADURA 5-001-69-016-6                                                                                                                                                                                                                </t>
  </si>
  <si>
    <t xml:space="preserve">[ 1660 ] 1575146 , ANILLO DE EMPAQUETADURA 0-168-35-000-3                                                                                                                                                                                                      </t>
  </si>
  <si>
    <t xml:space="preserve">[ 1670 ] 1575147 , ANILLO 1-800-78-890-3                                                                                                                                                                                                                       </t>
  </si>
  <si>
    <t>------------------------------------------------------------------------------------------------------------------------------------------------------------------------------------------------</t>
  </si>
  <si>
    <t>27.01.2026                                                    Salida dinámica de lista                                                                                                         1</t>
  </si>
  <si>
    <t>C:\Program Files\SAP\FrontEnd\SAPGUI\saplogon.exe</t>
  </si>
  <si>
    <t>POJGOMEZG</t>
  </si>
  <si>
    <t>POSTOBONuva2026</t>
  </si>
  <si>
    <t>|Ce. |Prov./Ce.sumin.         |Material|Texto breve                             |Fe.entrega|Cantidad|Ctd.EM|Por entrg.|UMP|  Prc.neto|Mon.|Doc.compr.|Pos.| Valor neto|EstadLib|Sol.pedido|Pos.|</t>
  </si>
  <si>
    <t>|0021|5000000505 POSTOBON S.A.|1560496 |VARILLA EMPUJE 8-125-50-035-7 [P]       |15.11.2025|     32 |   32 |        0 |PZA|27.526,41 |COP |8401437214|  10|880.845,12 |        |5069852728| 720|</t>
  </si>
  <si>
    <t>|0021|5000000505 POSTOBON S.A.|1560496 |VARILLA EMPUJE 8-125-50-035-7 [P]       |15.11.2025|     32 |   32 |        0 |PZA|27.526,41 |COP |8401437214|  10|880.845,12 |        |          |    |</t>
  </si>
  <si>
    <t>|0021|5000000289 POSTOBON S.A.|1574984 |TORNILLO M4X20  A2 DIN912 0-623-73-034-2|15.11.2025|     60 |   60 |        0 |PZA| 3.204,53 |COP |8401437216|  10|192.271,80 |        |5069852728|1500|</t>
  </si>
  <si>
    <t>|0021|4000000522 KRONES A.G.  |1033198 |RETEN 0-161-80-184-5=0-900-37-618-9 [RC]|01.03.2026|      1 |    0 |        1 |PZA|    26,86 |EUR |P226001-01|  10|     26,86 |X       |5069852728|  10|</t>
  </si>
  <si>
    <t>|0021|4000000522 KRONES A.G.  |1033199 |ANILLO 0-169-04-344-9=0-901-33-240-5 [RC|01.03.2026|      2 |    0 |        2 |PZA|     6,13 |EUR |P226001-01|  20|     12,26 |X       |5069852728|  20|</t>
  </si>
  <si>
    <t>|0021|4000000522 KRONES A.G.  |1033200 |ANILLO 0-169-04-436-9=0-901-24-722-2[RC]|01.03.2026|      8 |    0 |        8 |PZA|     5,51 |EUR |P226001-01|  30|     44,08 |X       |5069852728|  30|</t>
  </si>
  <si>
    <t>|0021|4000000522 KRONES A.G.  |1120727 |ROD. BOLAS SKF 61826 0-400-30-819-1 [RC]|01.03.2026|      1 |    0 |        1 |PZA|    60,51 |EUR |P226001-01|  40|     60,51 |X       |5069852728|  40|</t>
  </si>
  <si>
    <t>|0021|4000000522 KRONES A.G.  |1136370 |KIT REPARACION VALV. CO2 0-955-90-167-9 |01.03.2026|      1 |    0 |        1 |JGO|    69,74 |EUR |P226001-01|  50|     69,74 |X       |5069852728|  60|</t>
  </si>
  <si>
    <t>|0021|4000000522 KRONES A.G.  |1141002 |CLAVIJA ROSCADA 0-624-13-922-2 [RCP]    |01.03.2026|      5 |    0 |        5 |PZA|     0,08 |EUR |P226001-01|  60|      0,40 |X       |5069852728|  70|</t>
  </si>
  <si>
    <t>|0021|4000000522 KRONES A.G.  |1144384 |O-RING 0-162-20-227-2 [RCP]             |01.03.2026|     72 |    0 |       72 |PZA|     0,34 |EUR |P226001-01|  70|     24,48 |X       |5069852728|  80|</t>
  </si>
  <si>
    <t>|0021|4000000522 KRONES A.G.  |1144475 |ARANDELA / DISCO 1-099-51-090-0 [P]     |01.03.2026|     10 |    0 |       10 |PZA|     1,50 |EUR |P226001-01|  80|     15,00 |X       |5069852728|  90|</t>
  </si>
  <si>
    <t>|0021|4000000522 KRONES A.G.  |1155826 |ANILLO SEGURIDAD 0-681-72-806-2 [RCP]   |01.03.2026|     18 |    0 |       18 |PZA|     0,44 |EUR |P226001-01|  90|      7,92 |X       |5069852728| 100|</t>
  </si>
  <si>
    <t>|0021|4000000522 KRONES A.G.  |1167121 |RODAMIENTO DE BOLAS 0-400-30-822-1 [RC] |01.03.2026|      1 |    0 |        1 |PZA|    82,27 |EUR |P226001-01| 100|     82,27 |X       |5069852728| 110|</t>
  </si>
  <si>
    <t>|0021|4000000522 KRONES A.G.  |1167173 |ANILLO "O" 0-900-02-751-1               |01.03.2026|    219 |    0 |      219 |PZA|     0,23 |EUR |P226001-01| 110|     50,37 |X       |5069852728| 120|</t>
  </si>
  <si>
    <t>|0021|4000000522 KRONES A.G.  |1167306 |O-RING 0-162-20-082-6=0-900-06-027-6 [P]|01.03.2026|    146 |    0 |      146 |PZA|     0,40 |EUR |P226001-01| 120|     58,40 |X       |5069852728| 130|</t>
  </si>
  <si>
    <t>|0021|4000000522 KRONES A.G.  |1167313 |RESORTE COMPRESION 1-099-04-481-0 [P]   |01.03.2026|    219 |    0 |      219 |PZA|     1,25 |EUR |P226001-01| 130|    273,75 |X       |5069852728| 140|</t>
  </si>
  <si>
    <t>|0021|4000000522 KRONES A.G.  |1167363 |COJINETE 0900010160=0-905-61-187-7      |01.03.2026|     18 |    0 |       18 |PZA|    65,72 |EUR |P226001-01| 140|  1.182,96 |X       |5069852728| 150|</t>
  </si>
  <si>
    <t>|0021|4000000522 KRONES A.G.  |1167364 |ARANDELA SEG. 0-681-94-808-2 [RCP]      |01.03.2026|      5 |    0 |        5 |PZA|     1,42 |EUR |P226001-01| 150|      7,10 |X       |5069852728| 160|</t>
  </si>
  <si>
    <t>|0021|4000000522 KRONES A.G.  |1167372 |ANILLO "O" 0162202376=0-900-06-025-9 [RC|01.03.2026|      2 |    0 |        2 |PZA|     2,07 |EUR |P226001-01| 160|      4,14 |X       |5069852728| 170|</t>
  </si>
  <si>
    <t>|0021|4000000522 KRONES A.G.  |1167373 |EMPAQUE 0-029-71-072-3                  |01.03.2026|      1 |    0 |        1 |PZA| 1.112,14 |EUR |P226001-01| 170|  1.112,14 |X       |5069852728| 180|</t>
  </si>
  <si>
    <t>|0021|4000000522 KRONES A.G.  |1167375 |ANILLO 5-000-29-016-9                   |01.03.2026|      1 |    0 |        1 |PZA|    36,58 |EUR |P226001-01| 180|     36,58 |X       |5069852728| 190|</t>
  </si>
  <si>
    <t>|0021|4000000522 KRONES A.G.  |1167376 |MEMBRANA / DIAFRAGMA 5-000-29-027-3     |01.03.2026|      1 |    0 |        1 |PZA|   187,76 |EUR |P226001-01| 190|    187,76 |X       |5069852728| 200|</t>
  </si>
  <si>
    <t>|0021|4000000522 KRONES A.G.  |1167385 |O-RING 0-162-20-207-6=0-900-06-025-1 [RC|01.03.2026|      3 |    0 |        3 |PZA|     1,57 |EUR |P226001-01| 200|      4,71 |X       |5069852728| 220|</t>
  </si>
  <si>
    <t>|0021|4000000522 KRONES A.G.  |1196731 |JUEGO DE JUNTAS 0-900-61-424-9          |01.03.2026|      2 |    0 |        2 |PZA|   570,19 |EUR |P226001-01| 210|  1.140,38 |X       |5069852728| 240|</t>
  </si>
  <si>
    <t>|0021|4000000522 KRONES A.G.  |1196733 |JUEGO DE PIEZAS DESGASTE 0-900-01-516-6 |01.03.2026|      3 |    0 |        3 |PZA|    50,45 |EUR |P226001-01| 220|    151,35 |X       |5069852728| 250|</t>
  </si>
  <si>
    <t>|0021|4000000522 KRONES A.G.  |1196735 |RODILLO 5-000-29-011-4                  |01.03.2026|      1 |    0 |        1 |PZA|    88,16 |EUR |P226001-01| 230|     88,16 |X       |5069852728| 260|</t>
  </si>
  <si>
    <t>|0021|4000000522 KRONES A.G.  |1227034 |PIEZA PRESION 8-070-25-222-7            |01.03.2026|    228 |    0 |      228 |PZA|     1,42 |EUR |P226001-01| 240|    323,76 |X       |5069852728| 270|</t>
  </si>
  <si>
    <t>|0021|4000000522 KRONES A.G.  |1234098 |ARANDELA / DISCO 1-123-26-256-0         |01.03.2026|     72 |    0 |       72 |PZA|     4,73 |EUR |P226001-01| 250|    340,56 |X       |5069852728| 280|</t>
  </si>
  <si>
    <t>|0021|4000000522 KRONES A.G.  |1234255 |CASQUILLO XSM-1214-08 0-129-90-006-2    |01.03.2026|    234 |    0 |      234 |PZA|     3,91 |EUR |P226001-01| 260|    914,94 |X       |5069852728| 290|</t>
  </si>
  <si>
    <t>|0021|4000000522 KRONES A.G.  |1244900 |CORREA VSPA1657LW DIN7753 0-529-99-277-7|01.03.2026|      5 |    0 |        5 |PZA|    20,49 |EUR |P226001-01| 270|    102,45 |X       |5069852728| 300|</t>
  </si>
  <si>
    <t>|0021|4000000522 KRONES A.G.  |1245288 |RUEDA DEN. 8-351-75-047-5=0-901-32-695-6|01.03.2026|      8 |    0 |        8 |PZA|   612,06 |EUR |P226001-01| 280|  4.896,48 |X       |5069852728| 310|</t>
  </si>
  <si>
    <t>|0021|4000000522 KRONES A.G.  |1246747 |TORROIDAL ANILLO "O" 36*4 0-162-20-188-2|01.03.2026|      2 |    0 |        2 |PZA|     1,67 |EUR |P226001-01| 290|      3,34 |X       |5069852728| 320|</t>
  </si>
  <si>
    <t>|0021|4000000522 KRONES A.G.  |1259474 |CUERPO ESPIRAL 8-900-04-625-3           |01.03.2026|     10 |    0 |       10 |PZA|   118,44 |EUR |P226001-01| 300|  1.184,40 |X       |5069852728| 330|</t>
  </si>
  <si>
    <t>|0021|4000000522 KRONES A.G.  |1259488 |ABRAZADERA 8-070-25-271-7               |01.03.2026|     10 |    0 |       10 |PZA|    63,52 |EUR |P226001-01| 310|    635,20 |X       |5069852728| 340|</t>
  </si>
  <si>
    <t>|0021|4000000522 KRONES A.G.  |1259489 |ABRAZADERA 8-070-25-271-8               |01.03.2026|     10 |    0 |       10 |PZA|    63,52 |EUR |P226001-01| 320|    635,20 |X       |5069852728| 350|</t>
  </si>
  <si>
    <t>|0021|4000000522 KRONES A.G.  |1279131 |JGO DE PIEZAS DE DESGASTE 0-901-52-638-0|01.03.2026|     73 |    0 |       73 |C/U|    38,03 |EUR |P226001-01| 330|  2.776,19 |X       |5069852728| 360|</t>
  </si>
  <si>
    <t>|0021|4000000522 KRONES A.G.  |1279148 |JUEGO JUNTAS 0-901-24-807-4 [RC]        |01.03.2026|      2 |    0 |        2 |C/U|    34,18 |EUR |P226001-01| 340|     68,36 |X       |5069852728| 370|</t>
  </si>
  <si>
    <t>|0021|4000000522 KRONES A.G.  |1279158 |EMPAQUETADURA 0-901-06-123-8            |01.03.2026|      4 |    0 |        4 |PZA|    19,47 |EUR |P226001-01| 350|     77,88 |X       |5069852728| 380|</t>
  </si>
  <si>
    <t>|0021|4000000522 KRONES A.G.  |1279168 |CONJUNTO DE SERVICIO 0-900-87-415-1     |01.03.2026|      1 |    0 |        1 |PZA| 1.027,18 |EUR |P226001-01| 360|  1.027,18 |X       |5069852728| 390|</t>
  </si>
  <si>
    <t>|0021|4000000522 KRONES A.G.  |1279201 |ANILLO "O" 27X3 70SH 0-900-06-028-8     |01.03.2026|     16 |    0 |       16 |PZA|     1,12 |EUR |P226001-01| 370|     17,92 |X       |5069852728| 400|</t>
  </si>
  <si>
    <t>|0021|4000000522 KRONES A.G.  |1279213 |ARO SIMMER. A35X 50X 7-NB 0-161-70-072-5|01.03.2026|      1 |    0 |        1 |PZA|     7,24 |EUR |P226001-01| 380|      7,24 |X       |5069852728| 410|</t>
  </si>
  <si>
    <t>|0021|4000000522 KRONES A.G.  |1288165 |CASQUILLO 1-128-50-233-1                |01.03.2026|     10 |    0 |       10 |PZA|    12,29 |EUR |P226001-01| 390|    122,90 |X       |5069852728| 420|</t>
  </si>
  <si>
    <t>|0021|4000000522 KRONES A.G.  |1288172 |TORNILLO 0-900-70-605-2                 |01.03.2026|      5 |    0 |        5 |PZA|     3,07 |EUR |P226001-01| 400|     15,35 |X       |5069852728| 430|</t>
  </si>
  <si>
    <t>|0021|4000000522 KRONES A.G.  |1301975 |ARANDELA / DISCO 0-900-92-793-4         |01.03.2026|      5 |    0 |        5 |PZA|     1,74 |EUR |P226001-01| 410|      8,70 |X       |5069852728| 440|</t>
  </si>
  <si>
    <t>|0021|4000000522 KRONES A.G.  |1303688 |TORNILLO M4X 50A2 DIN 912 0-623-73-065-2|01.03.2026|     10 |    0 |       10 |PZA|     0,26 |EUR |P226001-01| 420|      2,60 |X       |5069852728| 450|</t>
  </si>
  <si>
    <t>|0021|4000000522 KRONES A.G.  |1321090 |SOPORTE 1-351-80-149-0                  |01.03.2026|      2 |    0 |        2 |PZA|   551,27 |EUR |P226001-01| 430|  1.102,54 |X       |5069852728| 460|</t>
  </si>
  <si>
    <t>|0021|4000000522 KRONES A.G.  |1321469 |CASQUILLO 1-128-50-209-0                |01.03.2026|     10 |    0 |       10 |PZA|     2,37 |EUR |P226001-01| 440|     23,70 |X       |5069852728| 470|</t>
  </si>
  <si>
    <t>|0021|4000000522 KRONES A.G.  |1323537 |ANILLO ADAPTACION D=2,3 1-800-58-885-4  |01.03.2026|     10 |    0 |       10 |PZA|     4,84 |EUR |P226001-01| 450|     48,40 |X       |5069852728| 480|</t>
  </si>
  <si>
    <t>|0021|4000000522 KRONES A.G.  |1323972 |ABRAZADERA IZQUIERDA 0-901-76-478-2     |01.03.2026|      5 |    0 |        5 |PZA|    63,52 |EUR |P226001-01| 460|    317,60 |X       |5069852728| 490|</t>
  </si>
  <si>
    <t>|0021|4000000522 KRONES A.G.  |1323973 |ABRAZADERA DERECHA 0-901-76-478-4       |01.03.2026|      5 |    0 |        5 |PZA|    63,52 |EUR |P226001-01| 470|    317,60 |X       |5069852728| 500|</t>
  </si>
  <si>
    <t>|0021|4000000522 KRONES A.G.  |1354237 |RETEN PARA EJES 0-161-70-095-5          |01.03.2026|      1 |    0 |        1 |PZA|     6,26 |EUR |P226001-01| 480|      6,26 |X       |5069852728| 520|</t>
  </si>
  <si>
    <t>|0021|4000000522 KRONES A.G.  |1354242 |RODAMIENTO 6006 DIN625 0-905-66-981-5   |01.03.2026|      2 |    0 |        2 |PZA|     2,68 |EUR |P226001-01| 490|      5,36 |X       |5069852728| 530|</t>
  </si>
  <si>
    <t>|0021|4000000522 KRONES A.G.  |1355946 |EMPAQUE VALVULA 0-901-79-671-8          |01.03.2026|      3 |    0 |        3 |PZA|    15,59 |EUR |P226001-01| 500|     46,77 |X       |5069852728| 550|</t>
  </si>
  <si>
    <t>|0021|4000000522 KRONES A.G.  |1355947 |ANILLO 0-902-54-135-6                   |01.03.2026|     15 |    0 |       15 |PZA|     2,30 |EUR |P226001-01| 510|     34,50 |X       |5069852728| 560|</t>
  </si>
  <si>
    <t>|0021|4000000522 KRONES A.G.  |1356259 |ANILLO ADAPTACAO 1-800-18-561-9         |01.03.2026|     10 |    0 |       10 |PZA|     3,67 |EUR |P226001-01| 520|     36,70 |X       |5069852728| 570|</t>
  </si>
  <si>
    <t>|0021|4000000522 KRONES A.G.  |1358206 |COJINETE DE DESLIZAMIENTO 0-902-35-806-6|01.03.2026|      2 |    0 |        2 |PZA|     2,14 |EUR |P226001-01| 530|      4,28 |X       |5069852728| 580|</t>
  </si>
  <si>
    <t>|0021|4000000522 KRONES A.G.  |1360840 |DIAFRAGMA PVP-96-213 5-007-60-003-5     |01.03.2026|      2 |    0 |        2 |PZA|    62,95 |EUR |P226001-01| 540|    125,90 |X       |5069852728| 590|</t>
  </si>
  <si>
    <t>|0021|4000000522 KRONES A.G.  |1377305 |EMPAQUE VALVULA DN80 EPDM 0-901-79-674-0|01.03.2026|      2 |    0 |        2 |PZA|    22,00 |EUR |P226001-01| 550|     44,00 |X       |5069852728| 600|</t>
  </si>
  <si>
    <t>|0021|4000000522 KRONES A.G.  |1435548 |JGO DE PIEZAS DE DESGASTE 0-902-13-398-0|01.03.2026|      2 |    0 |        2 |PZA|   212,51 |EUR |P226001-01| 560|    425,02 |X       |5069852728| 610|</t>
  </si>
  <si>
    <t>|0021|4000000522 KRONES A.G.  |1439349 |RESORTE DE COMPRESION 5-007-60-003-8    |01.03.2026|      2 |    0 |        2 |PZA|    38,49 |EUR |P226001-01| 570|     76,98 |X       |5069852728| 620|</t>
  </si>
  <si>
    <t>|0021|4000000522 KRONES A.G.  |1453998 |CARTUCHO FILTR 0184901240=0-902-21-637-5|01.03.2026|      1 |    0 |        1 |PZA|   133,58 |EUR |P226001-01| 580|    133,58 |X       |5069852728| 630|</t>
  </si>
  <si>
    <t>|0021|4000000522 KRONES A.G.  |1454037 |CARTUCHO FILTRANTE 0-901-46-003-6       |01.03.2026|      1 |    0 |        1 |PZA|   133,58 |EUR |P226001-01| 590|    133,58 |X       |5069852728| 640|</t>
  </si>
  <si>
    <t>|0021|4000000522 KRONES A.G.  |1458326 |TORNILLO 0-625-20-000-1                 |01.03.2026|      5 |    0 |        5 |PZA|     0,58 |EUR |P226001-01| 600|      2,90 |X       |5069852728| 650|</t>
  </si>
  <si>
    <t>|0021|4000000522 KRONES A.G.  |1474059 |CASQUILLO 5-001-29-006-9=0-900-00-361-4 |01.03.2026|    144 |    0 |      144 |PZA|     5,30 |EUR |P226001-01| 610|    763,20 |X       |5069852728| 660|</t>
  </si>
  <si>
    <t>|0021|4000000522 KRONES A.G.  |1499474 |SOPORTE  1-128-52-273-0                 |01.03.2026|      5 |    0 |        5 |PZA|    93,62 |EUR |P226001-01| 620|    468,10 |X       |5069852728| 670|</t>
  </si>
  <si>
    <t>|0021|4000000522 KRONES A.G.  |1530009 |DESCARGADOR AGUA 0-184-90-008-1         |01.03.2026|      2 |    0 |        2 |PZA|    77,66 |EUR |P226001-01| 630|    155,32 |X       |5069852728| 680|</t>
  </si>
  <si>
    <t>|0021|4000000522 KRONES A.G.  |1560484 |MEMBR 0-169-90-047-5=0-902-76-984-3 [RCP|01.03.2026|    219 |    0 |      219 |PZA|     6,88 |EUR |P226001-01| 640|  1.506,72 |X       |5069852728| 690|</t>
  </si>
  <si>
    <t>|0021|4000000522 KRONES A.G.  |1560485 |O-RING 0-162-20-012-8=0-900-06-024-2[RC]|01.03.2026|     18 |    0 |       18 |PZA|     1,50 |EUR |P226001-01| 650|     27,00 |X       |5069852728| 700|</t>
  </si>
  <si>
    <t>|0021|4000000522 KRONES A.G.  |1560491 |PASADOR ABIERTO 2X20 A2 D 0-683-71-134-2|01.03.2026|      5 |    0 |        5 |PZA|     0,08 |EUR |P226001-01| 660|      0,40 |X       |5069852728| 710|</t>
  </si>
  <si>
    <t>|0021|4000000522 KRONES A.G.  |1560502 |MED 0900567401=0901738080=0-905-15-061-5|01.03.2026|      3 |    0 |        3 |PZA| 1.466,54 |EUR |P226001-01| 670|  4.399,62 |X       |5069852728| 730|</t>
  </si>
  <si>
    <t>|0021|4000000522 KRONES A.G.  |1561799 |O-RING 0-900-04-703-3 [P]               |01.03.2026|     73 |    0 |       73 |PZA|     0,28 |EUR |P226001-01| 680|     20,44 |X       |5069852728| 740|</t>
  </si>
  <si>
    <t>|0021|4000000522 KRONES A.G.  |1561800 |EJE 1-070-25-077-1                      |01.03.2026|     96 |    0 |       96 |PZA|    28,47 |EUR |P226001-01| 690|  2.733,12 |X       |5069852728| 750|</t>
  </si>
  <si>
    <t>|0021|4000000522 KRONES A.G.  |1561803 |RODAMIENTO 6204-2RS 0-400-30-439-1 [RC] |01.03.2026|      2 |    0 |        2 |PZA|     2,14 |EUR |P226001-01| 700|      4,28 |X       |5069852728| 760|</t>
  </si>
  <si>
    <t>|0021|4000000522 KRONES A.G.  |1561806 |ABRAZADERA 1-128-52-114-0               |01.03.2026|     10 |    0 |       10 |PZA|    25,99 |EUR |P226001-01| 710|    259,90 |X       |5069852728| 770|</t>
  </si>
  <si>
    <t>|0021|4000000522 KRONES A.G.  |1561807 |ABRAZADERA 1-128-52-115-0               |01.03.2026|      5 |    0 |        5 |PZA|    25,99 |EUR |P226001-01| 720|    129,95 |X       |5069852728| 780|</t>
  </si>
  <si>
    <t>|0021|4000000522 KRONES A.G.  |1561822 |ARANDELLA EMPAQUETADURA 1-224-50-031-0  |01.03.2026|     73 |    0 |       73 |PZA|     4,35 |EUR |P226001-01| 730|    317,55 |X       |5069852728| 790|</t>
  </si>
  <si>
    <t>|0021|4000000522 KRONES A.G.  |1563133 |ANILLO "O" 0-900-06-028-0               |01.03.2026|     73 |    0 |       73 |PZA|     0,77 |EUR |P226001-01| 740|     56,21 |X       |5069852728| 800|</t>
  </si>
  <si>
    <t>|0021|4000000522 KRONES A.G.  |1563265 |O-RING  7X2 0-162-20-011-7              |01.03.2026|     73 |    0 |       73 |PZA|     0,21 |EUR |P226001-01| 750|     15,33 |X       |5069852728| 810|</t>
  </si>
  <si>
    <t>|0021|4000000522 KRONES A.G.  |1563267 |ANILLO "O" 0-900-02-751-4               |01.03.2026|    292 |    0 |      292 |PZA|     0,66 |EUR |P226001-01| 760|    192,72 |X       |5069852728| 820|</t>
  </si>
  <si>
    <t>|0021|4000000522 KRONES A.G.  |1563268 |O-RING 0-162-20-121-2 [RCP]             |01.03.2026|     72 |    0 |       72 |PZA|     0,19 |EUR |P226001-01| 770|     13,68 |X       |5069852728| 830|</t>
  </si>
  <si>
    <t>|0021|4000000522 KRONES A.G.  |1563269 |O-RING 9X2 0-900-02-751-0               |01.03.2026|    146 |    0 |      146 |PZA|     0,20 |EUR |P226001-01| 780|     29,20 |X       |5069852728| 840|</t>
  </si>
  <si>
    <t>|0021|4000000522 KRONES A.G.  |1563270 |O-RING  34X2 0-900-02-751-7             |01.03.2026|     91 |    0 |       91 |PZA|     1,27 |EUR |P226001-01| 790|    115,57 |X       |5069852728| 850|</t>
  </si>
  <si>
    <t>|0021|4000000522 KRONES A.G.  |1563271 |FUELLE CONECTOR 8-125-50-040-6 [P]      |01.03.2026|    219 |    0 |      219 |PZA|    31,84 |EUR |P226001-01| 800|  6.972,96 |X       |5069852728| 860|</t>
  </si>
  <si>
    <t>|0021|4000000522 KRONES A.G.  |1563272 |CASQUILLO 0-129-90-003-7 [P]            |01.03.2026|    365 |    0 |      365 |PZA|     2,20 |EUR |P226001-01| 810|    803,00 |X       |5069852728| 870|</t>
  </si>
  <si>
    <t>|0021|4000000522 KRONES A.G.  |1563273 |ANILLO "O" 0-900-04-710-0               |01.03.2026|     73 |    0 |       73 |PZA|     0,77 |EUR |P226001-01| 820|     56,21 |X       |5069852728| 880|</t>
  </si>
  <si>
    <t>|0021|4000000522 KRONES A.G.  |1563274 |RESORTE COMPRESION 1-099-04-708-0       |01.03.2026|     73 |    0 |       73 |PZA|    11,47 |EUR |P226001-01| 830|    837,31 |X       |5069852728| 890|</t>
  </si>
  <si>
    <t>|0021|4000000522 KRONES A.G.  |1563572 |O-RING 0-162-20-005-8=0-162-20-012-4[RC]|01.03.2026|    438 |    0 |      438 |PZA|     0,23 |EUR |P226001-01| 840|    100,74 |X       |5069852728| 900|</t>
  </si>
  <si>
    <t>|0021|4000000522 KRONES A.G.  |1569942 |MEMBRANA / DIAFRAGMA 0-900-41-624-7     |01.03.2026|      2 |    0 |        2 |PZA|    19,46 |EUR |P226001-01| 850|     38,92 |X       |5069852728| 910|</t>
  </si>
  <si>
    <t>|0021|4000000522 KRONES A.G.  |1569943 |RESORTE DE COMPRESION 0-023-70-005-1    |01.03.2026|      1 |    0 |        1 |PZA|    20,78 |EUR |P226001-01| 860|     20,78 |X       |5069852728| 920|</t>
  </si>
  <si>
    <t>|0021|4000000522 KRONES A.G.  |1570108 |EMPAQUETADURA 0-023-70-061-7 [RC]       |01.03.2026|      6 |    0 |        6 |PZA|     2,43 |EUR |P226001-01| 870|     14,58 |X       |5069852728| 930|</t>
  </si>
  <si>
    <t>|0021|4000000522 KRONES A.G.  |1570109 |ANILLO 0162201466=0-900-02-750-5 [RC]   |01.03.2026|     16 |    0 |       16 |PZA|     1,16 |EUR |P226001-01| 880|     18,56 |X       |5069852728| 940|</t>
  </si>
  <si>
    <t>|0021|4000000522 KRONES A.G.  |1570110 |O-RING 16X2 0-900-02-750-1 [P]          |01.03.2026|    146 |    0 |      146 |PZA|     0,36 |EUR |P226001-01| 890|     52,56 |X       |5069852728| 950|</t>
  </si>
  <si>
    <t>|0021|4000000522 KRONES A.G.  |1570111 |O-RING 0-162-20-012-6 [RCP]             |01.03.2026|     73 |    0 |       73 |PZA|     0,68 |EUR |P226001-01| 900|     49,64 |X       |5069852728| 960|</t>
  </si>
  <si>
    <t>|0021|4000000522 KRONES A.G.  |1570112 |O-RING 0-162-20-012-1 [RCP]             |01.03.2026|     73 |    0 |       73 |PZA|     0,51 |EUR |P226001-01| 910|     37,23 |X       |5069852728| 970|</t>
  </si>
  <si>
    <t>|0021|4000000522 KRONES A.G.  |1570114 |ANILLO 26x3 0162201367=0-162-20-011-3   |01.03.2026|     44 |    0 |       44 |PZA|     0,67 |EUR |P226001-01| 920|     29,48 |X       |5069852728| 980|</t>
  </si>
  <si>
    <t>|0021|4000000522 KRONES A.G.  |1570125 |PERNO DE RODILLO 0-900-91-036-7         |01.03.2026|      1 |    0 |        1 |PZA|    34,88 |EUR |P226001-01| 930|     34,88 |X       |5069852728| 990|</t>
  </si>
  <si>
    <t>|0021|4000000522 KRONES A.G.  |1570130 |CASQUILLO 1-128-52-073-0                |01.03.2026|    146 |    0 |      146 |PZA|     2,07 |EUR |P226001-01| 940|    302,22 |X       |5069852728|1000|</t>
  </si>
  <si>
    <t>|0021|4000000522 KRONES A.G.  |1570131 |O-RINGá 39X2 0-900-02-751-8             |01.03.2026|     73 |    0 |       73 |PZA|     1,82 |EUR |P226001-01| 950|    132,86 |X       |5069852728|1010|</t>
  </si>
  <si>
    <t>|0021|4000000522 KRONES A.G.  |1570138 |RODILLO 0-900-78-746-1                  |01.03.2026|      2 |    0 |        2 |PZA|    29,94 |EUR |P226001-01| 960|     59,88 |X       |5069852728|1020|</t>
  </si>
  <si>
    <t>|0021|4000000522 KRONES A.G.  |1570145 |EMPAQUETADURA 0-023-70-002-3            |01.03.2026|      1 |    0 |        1 |PZA|    21,43 |EUR |P226001-01| 970|     21,43 |X       |5069852728|1030|</t>
  </si>
  <si>
    <t>|0021|4000000522 KRONES A.G.  |1570151 |EMPAQUETADURA 0-901-13-071-0            |01.03.2026|      1 |    0 |        1 |C/U|    21,79 |EUR |P226001-01| 980|     21,79 |X       |5069852728|1040|</t>
  </si>
  <si>
    <t>|0021|4000000522 KRONES A.G.  |1570154 |JGO PIEZAS DESGASTE 0-900-17-580-8      |01.03.2026|      2 |    0 |        2 |PZA|   173,80 |EUR |P226001-01| 990|    347,60 |X       |5069852728|1050|</t>
  </si>
  <si>
    <t>|0021|4000000522 KRONES A.G.  |1571560 |ANILLO "O" 0-162-20-241-2               |01.03.2026|     54 |    0 |       54 |PZA|     0,23 |EUR |P226001-01|1000|     12,42 |X       |5069852728|1060|</t>
  </si>
  <si>
    <t>|0021|4000000522 KRONES A.G.  |1571561 |ANILLO """"O"""" 0-900-02-750-2"""      |01.03.2026|    146 |    0 |      146 |PZA|     0,62 |EUR |P226001-01|1010|     90,52 |X       |5069852728|1070|</t>
  </si>
  <si>
    <t>|0021|4000000522 KRONES A.G.  |1571562 |ANILLO "O" 0-900-06-024-8               |01.03.2026|     18 |    0 |       18 |PZA|     1,68 |EUR |P226001-01|1020|     30,24 |X       |5069852728|1080|</t>
  </si>
  <si>
    <t>|0021|4000000522 KRONES A.G.  |1571563 |ANILLO SEGURIDAD 0-900-47-797-7         |01.03.2026|      5 |    0 |        5 |PZA|     1,70 |EUR |P226001-01|1030|      8,50 |X       |5069852728|1090|</t>
  </si>
  <si>
    <t>|0021|4000000522 KRONES A.G.  |1571585 |RESORTE COMPRESION 1-099-04-732-0       |01.03.2026|     36 |    0 |       36 |PZA|     2,61 |EUR |P226001-01|1040|     93,96 |X       |5069852728|1100|</t>
  </si>
  <si>
    <t>|0021|4000000522 KRONES A.G.  |1571587 |RODILLO 8-070-25-325-6                  |01.03.2026|      3 |    0 |        3 |PZA|    11,96 |EUR |P226001-01|1050|     35,88 |X       |5069852728|1110|</t>
  </si>
  <si>
    <t>|0021|4000000522 KRONES A.G.  |1571592 |O-RING  20X2 0-900-04-805-4             |01.03.2026|    146 |    0 |      146 |PZA|     0,51 |EUR |P226001-01|1060|     74,46 |X       |5069852728|1120|</t>
  </si>
  <si>
    <t>|0021|4000000522 KRONES A.G.  |1571595 |RESORTE C 1-099-04-801-0=0-900-79-428-6 |01.03.2026|     73 |    0 |       73 |PZA|     5,91 |EUR |P226001-01|1070|    431,43 |X       |5069852728|1130|</t>
  </si>
  <si>
    <t>|0021|4000000522 KRONES A.G.  |1571597 |ARANDELA / DISCO 0-562-33-803-2 [P]     |01.03.2026|      5 |    0 |        5 |PZA|     0,40 |EUR |P226001-01|1080|      2,00 |X       |5069852728|1140|</t>
  </si>
  <si>
    <t>|0021|4000000522 KRONES A.G.  |1571599 |PIEZA PRESION 1-351-80-016-0 [P]        |01.03.2026|      5 |    0 |        5 |PZA|     1,15 |EUR |P226001-01|1090|      5,75 |X       |5069852728|1150|</t>
  </si>
  <si>
    <t>|0021|4000000522 KRONES A.G.  |1571600 |TUERCA 0-424-97-400-2                   |01.03.2026|     18 |    0 |       18 |PZA|     0,78 |EUR |P226001-01|1100|     14,04 |X       |5069852728|1160|</t>
  </si>
  <si>
    <t>|0021|4000000522 KRONES A.G.  |1571601 |CASQUILLO 0-129-90-000-1 [P]            |01.03.2026|     18 |    0 |       18 |PZA|     1,08 |EUR |P226001-01|1110|     19,44 |X       |5069852728|1170|</t>
  </si>
  <si>
    <t>|0021|4000000522 KRONES A.G.  |1571602 |RODAMIENTO 0-903-39-235-7=0400600005 [RC|01.03.2026|     18 |    0 |       18 |PZA|    12,93 |EUR |P226001-01|1120|    232,74 |X       |5069852728|1180|</t>
  </si>
  <si>
    <t>|0021|4000000522 KRONES A.G.  |1571603 |CASQUILLO 0-129-90-001-9 [P]            |01.03.2026|     18 |    0 |       18 |PZA|     0,90 |EUR |P226001-01|1130|     16,20 |X       |5069852728|1190|</t>
  </si>
  <si>
    <t>|0021|4000000522 KRONES A.G.  |1571604 |ANILLO "O" 0-900-02-750-6 [RC]          |01.03.2026|     28 |    0 |       28 |PZA|     0,95 |EUR |P226001-01|1140|     26,60 |X       |5069852728|1200|</t>
  </si>
  <si>
    <t>|0021|4000000522 KRONES A.G.  |1571608 |RODAMIENTO BOLAS 0-400-30-423-1 [RC]    |01.03.2026|     37 |    0 |       37 |PZA|     1,81 |EUR |P226001-01|1150|     66,97 |X       |5069852728|1210|</t>
  </si>
  <si>
    <t>|0021|4000000522 KRONES A.G.  |1571614 |O-RING 0-162-20-239-2 [RCP]             |01.03.2026|     72 |    0 |       72 |PZA|     0,28 |EUR |P226001-01|1160|     20,16 |X       |5069852728|1220|</t>
  </si>
  <si>
    <t>|0021|4000000522 KRONES A.G.  |1571615 |O-RING 0-162-14-415-2 [RCP]             |01.03.2026|     72 |    0 |       72 |PZA|     0,15 |EUR |P226001-01|1170|     10,80 |X       |5069852728|1230|</t>
  </si>
  <si>
    <t>|0021|4000000522 KRONES A.G.  |1571616 |EMPAQUET. 0-169-60-270-0=0-902-97-715-1 |01.03.2026|     72 |    0 |       72 |PZA|     4,33 |EUR |P226001-01|1180|    311,76 |X       |5069852728|1240|</t>
  </si>
  <si>
    <t>|0021|4000000522 KRONES A.G.  |1571617 |GUIA 0-168-39-991-0=0-902-29-271-5 [RCP]|01.03.2026|     72 |    0 |       72 |PZA|     2,42 |EUR |P226001-01|1190|    174,24 |X       |5069852728|1250|</t>
  </si>
  <si>
    <t>|0021|4000000522 KRONES A.G.  |1571618 |BLOQUE DESLIZANTE 1-123-26-057-0 [P]    |01.03.2026|     72 |    0 |       72 |PZA|    18,08 |EUR |P226001-01|1200|  1.301,76 |X       |5069852728|1260|</t>
  </si>
  <si>
    <t>|0021|4000000522 KRONES A.G.  |1571623 |EMPAQUETADURA 0-023-70-060-7 [RC]       |01.03.2026|     30 |    0 |       30 |PZA|     2,34 |EUR |P226001-01|1210|     70,20 |X       |5069852728|1270|</t>
  </si>
  <si>
    <t>|0021|4000000522 KRONES A.G.  |1574865 |RODAMIEN. 6006-2RS DIN625 0-400-30-148-1|01.03.2026|      1 |    0 |        1 |PZA|     2,47 |EUR |P226001-01|1220|      2,47 |X       |5069852728|1290|</t>
  </si>
  <si>
    <t>|0021|4000000522 KRONES A.G.  |1574888 |FUELLE 8-900-04-438-0 [RCP]             |01.03.2026|     73 |    0 |       73 |PZA|   101,85 |EUR |P226001-01|1230|  7.435,05 |X       |5069852728|1300|</t>
  </si>
  <si>
    <t>|0021|4000000522 KRONES A.G.  |1574892 |ARANDELA DE SEGURIDAD 1-123-26-182-0 [P]|01.03.2026|     10 |    0 |       10 |PZA|     2,39 |EUR |P226001-01|1240|     23,90 |X       |5069852728|1310|</t>
  </si>
  <si>
    <t>|0021|4000000522 KRONES A.G.  |1574903 |MEMBRANA 0-902-01-719-6=5-000-29-409-0  |01.03.2026|      2 |    0 |        2 |PZA|    66,54 |EUR |P226001-01|1250|    133,08 |X       |5069852728|1320|</t>
  </si>
  <si>
    <t>|0021|4000000522 KRONES A.G.  |1574904 |MEMBRANA 5-000-29-409-1                 |01.03.2026|      2 |    0 |        2 |PZA|     6,19 |EUR |P226001-01|1260|     12,38 |X       |5069852728|1330|</t>
  </si>
  <si>
    <t>|0021|4000000522 KRONES A.G.  |1574905 |ANILLO 1-123-26-213-0 [P]               |01.03.2026|     57 |    0 |       57 |PZA|     5,14 |EUR |P226001-01|1270|    292,98 |X       |5069852728|1340|</t>
  </si>
  <si>
    <t>|0021|4000000522 KRONES A.G.  |1574906 |EMPAQUETADURA 5-001-69-016-4            |01.03.2026|      2 |    0 |        2 |PZA|     3,99 |EUR |P226001-01|1280|      7,98 |X       |5069852728|1350|</t>
  </si>
  <si>
    <t>|0021|4000000522 KRONES A.G.  |1574907 |EMPAQUETADURA 5-001-69-016-5            |01.03.2026|      2 |    0 |        2 |PZA|    11,11 |EUR |P226001-01|1290|     22,22 |X       |5069852728|1360|</t>
  </si>
  <si>
    <t>|0021|4000000522 KRONES A.G.  |1574909 |EMPAQUETADURA 0-023-70-063-7 [RC]       |01.03.2026|      9 |    0 |        9 |PZA|     3,58 |EUR |P226001-01|1300|     32,22 |X       |5069852728|1370|</t>
  </si>
  <si>
    <t>|0021|4000000522 KRONES A.G.  |1574919 |EMPAQUETADURA 1-124-50-307-0 [P]        |01.03.2026|    146 |    0 |      146 |PZA|     1,42 |EUR |P226001-01|1310|    207,32 |X       |5069852728|1380|</t>
  </si>
  <si>
    <t>|0021|4000000522 KRONES A.G.  |1574920 |ANILLO ""O"" 0-900-06-012-8"            |01.03.2026|      2 |    0 |        2 |PZA|     1,16 |EUR |P226001-01|1320|      2,32 |X       |5069852728|1390|</t>
  </si>
  <si>
    <t>|0021|4000000522 KRONES A.G.  |1574921 |JUEGO JUNTAS 0-900-25-830-9 [P]         |01.03.2026|      2 |    0 |        2 |PZA|    36,20 |EUR |P226001-01|1330|     72,40 |X       |5069852728|1400|</t>
  </si>
  <si>
    <t>|0021|4000000522 KRONES A.G.  |1574925 |RODAMIENTO 6002-2RS  0-400-30-120-1 [RC]|01.03.2026|      2 |    0 |        2 |PZA|     1,40 |EUR |P226001-01|1340|      2,80 |X       |5069852728|1410|</t>
  </si>
  <si>
    <t>|0021|4000000522 KRONES A.G.  |1574939 |RESORTE DE COMPRESION 0-900-80-077-3    |01.03.2026|      2 |    0 |        2 |PZA|    24,30 |EUR |P226001-01|1350|     48,60 |X       |5069852728|1420|</t>
  </si>
  <si>
    <t>|0021|4000000522 KRONES A.G.  |1574945 |RODAMI. 6000-2RS 0-400-30-106-1 [RC]    |01.03.2026|      4 |    0 |        4 |PZA|     3,20 |EUR |P226001-01|1360|     12,80 |X       |5069852728|1430|</t>
  </si>
  <si>
    <t>|0021|4000000522 KRONES A.G.  |1574967 |CASQUILLO DU 0-126-73-024-1 [P]         |01.03.2026|     18 |    0 |       18 |PZA|     1,16 |EUR |P226001-01|1370|     20,88 |X       |5069852728|1440|</t>
  </si>
  <si>
    <t>|0021|4000000522 KRONES A.G.  |1574968 |ARANDELA DE SEGURIDAD 1-123-26-130-0 [P]|01.03.2026|     10 |    0 |       10 |PZA|     2,83 |EUR |P226001-01|1380|     28,30 |X       |5069852728|1450|</t>
  </si>
  <si>
    <t>|0021|4000000522 KRONES A.G.  |1574969 |PIEZA DE PRESION 1-123-26-034-0 [P]     |01.03.2026|    144 |    0 |      144 |PZA|     1,49 |EUR |P226001-01|1390|    214,56 |X       |5069852728|1460|</t>
  </si>
  <si>
    <t>|0021|4000000522 KRONES A.G.  |1574970 |EMP 0165001302=0902882758=0-902-93-880-9|01.03.2026|     72 |    0 |       72 |PZA|     6,90 |EUR |P226001-01|1400|    496,80 |X       |5069852728|1470|</t>
  </si>
  <si>
    <t>|0021|4000000522 KRONES A.G.  |1574971 |RESORTE COMPRESION 1-099-04-028-0 [P]   |01.03.2026|    144 |    0 |      144 |PZA|     1,04 |EUR |P226001-01|1410|    149,76 |X       |5069852728|1480|</t>
  </si>
  <si>
    <t>|0021|4000000522 KRONES A.G.  |1574972 |ANILLO SEGU 48X1,75 0-681-90-000-0 [RCP]|01.03.2026|      5 |    0 |        5 |PZA|     1,79 |EUR |P226001-01|1420|      8,95 |X       |5069852728|1490|</t>
  </si>
  <si>
    <t>|0021|4000000522 KRONES A.G.  |1574999 |ANILLO "O" 0-900-76-402-3               |01.03.2026|      1 |    0 |        1 |PZA|    20,21 |EUR |P226001-01|1430|     20,21 |X       |5069852728|1510|</t>
  </si>
  <si>
    <t>|0021|4000000522 KRONES A.G.  |1575001 |EMPAQUETADURA 0-900-75-614-7            |01.03.2026|      1 |    0 |        1 |PZA|    26,08 |EUR |P226001-01|1440|     26,08 |X       |5069852728|1520|</t>
  </si>
  <si>
    <t>|0021|4000000522 KRONES A.G.  |1575011 |RODILLO 1-120-26-132-0 [P]              |01.03.2026|     72 |    0 |       72 |PZA|    16,08 |EUR |P226001-01|1450|  1.157,76 |X       |5069852728|1530|</t>
  </si>
  <si>
    <t>|0021|4000000522 KRONES A.G.  |1575026 |ARANDELA / DISCO 1-099-52-133-0         |01.03.2026|     20 |    0 |       20 |PZA|     1,35 |EUR |P226001-01|1460|     27,00 |X       |5069852728|1540|</t>
  </si>
  <si>
    <t>|0021|4000000522 KRONES A.G.  |1575037 |RODILLO APOYO 0-403-40-000-1 [RC]       |01.03.2026|      5 |    0 |        5 |PZA|    22,80 |EUR |P226001-01|1470|    114,00 |X       |5069852728|1550|</t>
  </si>
  <si>
    <t>|0021|4000000522 KRONES A.G.  |1575048 |ANILLO ""O"" 0-900-06-028-2"            |01.03.2026|     73 |    0 |       73 |PZA|     0,67 |EUR |P226001-01|1480|     48,91 |X       |5069852728|1560|</t>
  </si>
  <si>
    <t>|0021|4000000522 KRONES A.G.  |1575074 |JUEGO PIEZAS REPARACION 0-900-03-951-9  |01.03.2026|      1 |    0 |        1 |JGO|   236,33 |EUR |P226001-01|1490|    236,33 |X       |5069852728|1570|</t>
  </si>
  <si>
    <t>|0021|4000000522 KRONES A.G.  |1575075 |ANILLO "O" 1800381478=0-900-81-516-7    |01.03.2026|      1 |    0 |        1 |PZA|    16,85 |EUR |P226001-01|1500|     16,85 |X       |5069852728|1580|</t>
  </si>
  <si>
    <t>|0021|4000000522 KRONES A.G.  |1575076 |JUNTA TORICA 1800381479 = 0-900-81-522-1|01.03.2026|      1 |    0 |        1 |PZA|   102,55 |EUR |P226001-01|1510|    102,55 |X       |5069852728|1590|</t>
  </si>
  <si>
    <t>|0021|4000000522 KRONES A.G.  |1575080 |RESORTE DE COMPRESION 1-099-04-773-0    |01.03.2026|      5 |    0 |        5 |PZA|    11,56 |EUR |P226001-01|1520|     57,80 |X       |5069852728|1600|</t>
  </si>
  <si>
    <t>|0021|4000000522 KRONES A.G.  |1575082 |ANILLO ""O"" 0-900-09-361-3"            |01.03.2026|      2 |    0 |        2 |PZA|     1,52 |EUR |P226001-01|1530|      3,04 |X       |5069852728|1610|</t>
  </si>
  <si>
    <t>|0021|4000000522 KRONES A.G.  |1575088 |TORNILLO 0-625-55-524-8=0-903-27-254-8  |01.03.2026|      5 |    0 |        5 |PZA|     0,31 |EUR |P226001-01|1540|      1,55 |X       |5069852728|1620|</t>
  </si>
  <si>
    <t>|0021|4000000522 KRONES A.G.  |1575094 |TORNIL. 0628439242=0900942930=0905150188|01.03.2026|     10 |    0 |       10 |PZA|     0,17 |EUR |P226001-01|1550|      1,70 |X       |5069852728|1630|</t>
  </si>
  <si>
    <t>|0021|4000000522 KRONES A.G.  |1575140 |TORNILLO P/SOPORTE BOT. 1-128-52-067-0  |01.03.2026|     10 |    0 |       10 |PZA|     3,99 |EUR |P226001-01|1560|     39,90 |X       |5069852728|1640|</t>
  </si>
  <si>
    <t>|0021|4000000522 KRONES A.G.  |1575145 |EMPAQUETADURA 5-001-69-016-6            |01.03.2026|      1 |    0 |        1 |PZA|   565,93 |EUR |P226001-01|1570|    565,93 |X       |5069852728|1650|</t>
  </si>
  <si>
    <t>|0021|4000000522 KRONES A.G.  |1575146 |ANILLO DE EMPAQUETADURA 0-168-35-000-3  |01.03.2026|      1 |    0 |        1 |PZA|     1,76 |EUR |P226001-01|1580|      1,76 |X       |5069852728|1660|</t>
  </si>
  <si>
    <t>|0021|4000000522 KRONES A.G.  |1575147 |ANILLO 1-800-78-890-3                   |01.03.2026|     18 |    0 |       18 |PZA|   170,56 |EUR |P226001-01|1590|  3.070,08 |X       |5069852728|1670|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</si>
</sst>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333333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9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333333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Bahnschrift Light"/>
      <family val="2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333333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sz val="11"/>
      <name val="Calibri"/>
      <family val="2"/>
    </font>
    <font>
      <b/>
      <sz val="18"/>
      <color rgb="FF557ECA"/>
      <name val="Calibri"/>
      <family val="2"/>
      <scheme val="minor"/>
    </font>
    <font>
      <b/>
      <sz val="14"/>
      <color theme="4" tint="-0.24994659260841701"/>
      <name val="Calibri"/>
      <family val="2"/>
    </font>
    <font>
      <sz val="11"/>
      <color rgb="FFFF0000"/>
      <name val="Calibri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u val="double"/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8FBFC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rgb="FFFFFFFF"/>
      </patternFill>
    </fill>
    <fill>
      <patternFill patternType="solid">
        <fgColor rgb="FFC8DC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F7964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145481734672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1" fillId="0" borderId="0">
      <alignment horizontal="left" vertical="center"/>
    </xf>
    <xf numFmtId="0" fontId="31" fillId="0" borderId="0" applyNumberFormat="0" applyFill="0" applyBorder="0" applyAlignment="0" applyProtection="0"/>
    <xf numFmtId="0" fontId="32" fillId="0" borderId="41" applyNumberFormat="0" applyFill="0" applyAlignment="0" applyProtection="0"/>
  </cellStyleXfs>
  <cellXfs count="287">
    <xf numFmtId="0" fontId="0" fillId="0" borderId="0" xfId="0"/>
    <xf numFmtId="0" fontId="2" fillId="0" borderId="0" xfId="1" applyFont="1" applyAlignment="1">
      <alignment horizontal="center" vertical="center" wrapText="1"/>
    </xf>
    <xf numFmtId="0" fontId="2" fillId="15" borderId="1" xfId="1" applyFont="1" applyFill="1" applyBorder="1" applyAlignment="1">
      <alignment horizontal="center" vertical="center" wrapText="1"/>
    </xf>
    <xf numFmtId="0" fontId="4" fillId="0" borderId="0" xfId="1" applyFont="1" applyAlignment="1">
      <alignment horizontal="center"/>
    </xf>
    <xf numFmtId="0" fontId="5" fillId="11" borderId="2" xfId="1" applyFont="1" applyFill="1" applyBorder="1" applyAlignment="1">
      <alignment horizontal="center" vertical="center" wrapText="1"/>
    </xf>
    <xf numFmtId="2" fontId="6" fillId="21" borderId="3" xfId="1" applyNumberFormat="1" applyFont="1" applyFill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9" fillId="0" borderId="2" xfId="1" applyFont="1" applyBorder="1" applyAlignment="1">
      <alignment horizontal="center" vertical="center" wrapText="1"/>
    </xf>
    <xf numFmtId="2" fontId="6" fillId="21" borderId="2" xfId="1" applyNumberFormat="1" applyFont="1" applyFill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14" fontId="9" fillId="0" borderId="2" xfId="1" applyNumberFormat="1" applyFont="1" applyBorder="1" applyAlignment="1">
      <alignment horizontal="center" vertical="center" wrapText="1"/>
    </xf>
    <xf numFmtId="2" fontId="6" fillId="22" borderId="2" xfId="1" applyNumberFormat="1" applyFont="1" applyFill="1" applyBorder="1" applyAlignment="1">
      <alignment horizontal="center" vertical="center"/>
    </xf>
    <xf numFmtId="2" fontId="6" fillId="0" borderId="2" xfId="1" applyNumberFormat="1" applyFont="1" applyBorder="1" applyAlignment="1">
      <alignment horizontal="center" vertical="center"/>
    </xf>
    <xf numFmtId="2" fontId="6" fillId="22" borderId="6" xfId="1" applyNumberFormat="1" applyFont="1" applyFill="1" applyBorder="1" applyAlignment="1">
      <alignment horizontal="center" vertical="center"/>
    </xf>
    <xf numFmtId="2" fontId="6" fillId="0" borderId="3" xfId="1" applyNumberFormat="1" applyFont="1" applyBorder="1" applyAlignment="1">
      <alignment horizontal="center" vertical="center"/>
    </xf>
    <xf numFmtId="2" fontId="6" fillId="0" borderId="6" xfId="1" applyNumberFormat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2" fontId="6" fillId="0" borderId="8" xfId="1" applyNumberFormat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2" fontId="6" fillId="21" borderId="6" xfId="1" applyNumberFormat="1" applyFont="1" applyFill="1" applyBorder="1" applyAlignment="1">
      <alignment horizontal="center" vertical="center"/>
    </xf>
    <xf numFmtId="2" fontId="6" fillId="22" borderId="8" xfId="1" applyNumberFormat="1" applyFont="1" applyFill="1" applyBorder="1" applyAlignment="1">
      <alignment horizontal="center" vertical="center"/>
    </xf>
    <xf numFmtId="2" fontId="7" fillId="0" borderId="10" xfId="1" applyNumberFormat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14" fontId="10" fillId="0" borderId="2" xfId="1" applyNumberFormat="1" applyFont="1" applyBorder="1" applyAlignment="1">
      <alignment horizontal="center" vertical="center" wrapText="1"/>
    </xf>
    <xf numFmtId="0" fontId="12" fillId="0" borderId="0" xfId="2" applyFont="1">
      <alignment horizontal="left" vertical="center"/>
    </xf>
    <xf numFmtId="0" fontId="13" fillId="0" borderId="0" xfId="2" applyFont="1">
      <alignment horizontal="left" vertical="center"/>
    </xf>
    <xf numFmtId="0" fontId="4" fillId="7" borderId="2" xfId="1" applyFont="1" applyFill="1" applyBorder="1" applyAlignment="1">
      <alignment horizontal="center"/>
    </xf>
    <xf numFmtId="0" fontId="4" fillId="24" borderId="2" xfId="1" applyFont="1" applyFill="1" applyBorder="1" applyAlignment="1">
      <alignment horizontal="center"/>
    </xf>
    <xf numFmtId="0" fontId="4" fillId="25" borderId="2" xfId="1" applyFont="1" applyFill="1" applyBorder="1" applyAlignment="1">
      <alignment horizontal="center"/>
    </xf>
    <xf numFmtId="49" fontId="19" fillId="21" borderId="2" xfId="1" applyNumberFormat="1" applyFont="1" applyFill="1" applyBorder="1" applyAlignment="1">
      <alignment horizontal="center" vertical="center"/>
    </xf>
    <xf numFmtId="0" fontId="20" fillId="0" borderId="2" xfId="1" applyFont="1" applyBorder="1" applyAlignment="1">
      <alignment horizontal="center" vertical="center"/>
    </xf>
    <xf numFmtId="0" fontId="20" fillId="0" borderId="2" xfId="1" applyFont="1" applyBorder="1" applyAlignment="1">
      <alignment horizontal="center" vertical="center" wrapText="1"/>
    </xf>
    <xf numFmtId="0" fontId="24" fillId="0" borderId="2" xfId="0" applyFont="1" applyBorder="1" applyAlignment="1">
      <alignment wrapText="1"/>
    </xf>
    <xf numFmtId="0" fontId="4" fillId="0" borderId="12" xfId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 wrapText="1"/>
    </xf>
    <xf numFmtId="0" fontId="4" fillId="0" borderId="1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 wrapText="1"/>
    </xf>
    <xf numFmtId="14" fontId="9" fillId="0" borderId="3" xfId="1" applyNumberFormat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/>
    </xf>
    <xf numFmtId="14" fontId="9" fillId="0" borderId="8" xfId="1" applyNumberFormat="1" applyFont="1" applyBorder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14" fontId="9" fillId="0" borderId="12" xfId="1" applyNumberFormat="1" applyFont="1" applyBorder="1" applyAlignment="1">
      <alignment horizontal="center" vertical="center" wrapText="1"/>
    </xf>
    <xf numFmtId="0" fontId="4" fillId="0" borderId="14" xfId="1" applyFont="1" applyBorder="1" applyAlignment="1">
      <alignment horizontal="center" vertical="center"/>
    </xf>
    <xf numFmtId="14" fontId="9" fillId="0" borderId="14" xfId="1" applyNumberFormat="1" applyFont="1" applyBorder="1" applyAlignment="1">
      <alignment horizontal="center" vertical="center" wrapText="1"/>
    </xf>
    <xf numFmtId="14" fontId="10" fillId="0" borderId="14" xfId="1" applyNumberFormat="1" applyFont="1" applyBorder="1" applyAlignment="1">
      <alignment horizontal="center" vertical="center" wrapText="1"/>
    </xf>
    <xf numFmtId="14" fontId="10" fillId="0" borderId="13" xfId="1" applyNumberFormat="1" applyFont="1" applyBorder="1" applyAlignment="1">
      <alignment horizontal="center" vertical="center" wrapText="1"/>
    </xf>
    <xf numFmtId="14" fontId="9" fillId="0" borderId="13" xfId="1" applyNumberFormat="1" applyFont="1" applyBorder="1" applyAlignment="1">
      <alignment horizontal="center" vertical="center" wrapText="1"/>
    </xf>
    <xf numFmtId="0" fontId="2" fillId="4" borderId="3" xfId="1" applyFont="1" applyFill="1" applyBorder="1" applyAlignment="1">
      <alignment horizontal="center" vertical="center" wrapText="1"/>
    </xf>
    <xf numFmtId="0" fontId="5" fillId="19" borderId="5" xfId="1" applyFont="1" applyFill="1" applyBorder="1" applyAlignment="1">
      <alignment horizontal="center" vertical="center" wrapText="1"/>
    </xf>
    <xf numFmtId="0" fontId="5" fillId="20" borderId="23" xfId="1" applyFont="1" applyFill="1" applyBorder="1" applyAlignment="1">
      <alignment horizontal="center" vertical="center" wrapText="1"/>
    </xf>
    <xf numFmtId="0" fontId="9" fillId="0" borderId="5" xfId="1" applyFont="1" applyBorder="1" applyAlignment="1">
      <alignment horizontal="center" vertical="center" wrapText="1"/>
    </xf>
    <xf numFmtId="0" fontId="9" fillId="0" borderId="23" xfId="1" applyFont="1" applyBorder="1" applyAlignment="1">
      <alignment horizontal="center" vertical="center" wrapText="1"/>
    </xf>
    <xf numFmtId="14" fontId="9" fillId="0" borderId="5" xfId="1" applyNumberFormat="1" applyFont="1" applyBorder="1" applyAlignment="1">
      <alignment horizontal="center" vertical="center" wrapText="1"/>
    </xf>
    <xf numFmtId="0" fontId="9" fillId="0" borderId="24" xfId="1" applyFont="1" applyBorder="1" applyAlignment="1">
      <alignment horizontal="center" vertical="center" wrapText="1"/>
    </xf>
    <xf numFmtId="0" fontId="9" fillId="0" borderId="25" xfId="1" applyFont="1" applyBorder="1" applyAlignment="1">
      <alignment horizontal="center" vertical="center" wrapText="1"/>
    </xf>
    <xf numFmtId="0" fontId="9" fillId="0" borderId="4" xfId="1" applyFont="1" applyBorder="1" applyAlignment="1">
      <alignment horizontal="center" vertical="center" wrapText="1"/>
    </xf>
    <xf numFmtId="0" fontId="9" fillId="0" borderId="22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center" vertical="center" wrapText="1"/>
    </xf>
    <xf numFmtId="0" fontId="9" fillId="0" borderId="26" xfId="1" applyFont="1" applyBorder="1" applyAlignment="1">
      <alignment horizontal="center" vertical="center" wrapText="1"/>
    </xf>
    <xf numFmtId="14" fontId="10" fillId="0" borderId="27" xfId="1" applyNumberFormat="1" applyFont="1" applyBorder="1" applyAlignment="1">
      <alignment horizontal="center" vertical="center" wrapText="1"/>
    </xf>
    <xf numFmtId="0" fontId="9" fillId="0" borderId="28" xfId="1" applyFont="1" applyBorder="1" applyAlignment="1">
      <alignment horizontal="center" vertical="center" wrapText="1"/>
    </xf>
    <xf numFmtId="14" fontId="10" fillId="0" borderId="5" xfId="1" applyNumberFormat="1" applyFont="1" applyBorder="1" applyAlignment="1">
      <alignment horizontal="center" vertical="center" wrapText="1"/>
    </xf>
    <xf numFmtId="14" fontId="10" fillId="0" borderId="24" xfId="1" applyNumberFormat="1" applyFont="1" applyBorder="1" applyAlignment="1">
      <alignment horizontal="center" vertical="center" wrapText="1"/>
    </xf>
    <xf numFmtId="14" fontId="10" fillId="0" borderId="9" xfId="1" applyNumberFormat="1" applyFont="1" applyBorder="1" applyAlignment="1">
      <alignment horizontal="center" vertical="center" wrapText="1"/>
    </xf>
    <xf numFmtId="0" fontId="9" fillId="0" borderId="29" xfId="1" applyFont="1" applyBorder="1" applyAlignment="1">
      <alignment horizontal="center" vertical="center" wrapText="1"/>
    </xf>
    <xf numFmtId="14" fontId="10" fillId="0" borderId="30" xfId="1" applyNumberFormat="1" applyFont="1" applyBorder="1" applyAlignment="1">
      <alignment horizontal="center" vertical="center" wrapText="1"/>
    </xf>
    <xf numFmtId="0" fontId="9" fillId="0" borderId="31" xfId="1" applyFont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center" wrapText="1"/>
    </xf>
    <xf numFmtId="0" fontId="9" fillId="0" borderId="27" xfId="1" applyFont="1" applyBorder="1" applyAlignment="1">
      <alignment horizontal="center" vertical="center" wrapText="1"/>
    </xf>
    <xf numFmtId="0" fontId="9" fillId="0" borderId="28" xfId="1" applyFont="1" applyBorder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25" xfId="1" applyFont="1" applyBorder="1" applyAlignment="1">
      <alignment horizontal="center" vertical="center"/>
    </xf>
    <xf numFmtId="14" fontId="9" fillId="0" borderId="22" xfId="1" applyNumberFormat="1" applyFont="1" applyBorder="1" applyAlignment="1">
      <alignment horizontal="center" vertical="center" wrapText="1"/>
    </xf>
    <xf numFmtId="0" fontId="2" fillId="5" borderId="3" xfId="1" applyFont="1" applyFill="1" applyBorder="1" applyAlignment="1">
      <alignment horizontal="center" vertical="center" wrapText="1"/>
    </xf>
    <xf numFmtId="14" fontId="16" fillId="0" borderId="5" xfId="1" applyNumberFormat="1" applyFont="1" applyBorder="1" applyAlignment="1">
      <alignment horizontal="center" vertical="center" wrapText="1"/>
    </xf>
    <xf numFmtId="0" fontId="23" fillId="0" borderId="0" xfId="0" applyFont="1" applyAlignment="1">
      <alignment wrapText="1"/>
    </xf>
    <xf numFmtId="0" fontId="10" fillId="0" borderId="5" xfId="1" applyFont="1" applyBorder="1" applyAlignment="1">
      <alignment horizontal="center" vertical="center" wrapText="1"/>
    </xf>
    <xf numFmtId="0" fontId="10" fillId="0" borderId="27" xfId="1" applyFont="1" applyBorder="1" applyAlignment="1">
      <alignment horizontal="center" vertical="center" wrapText="1"/>
    </xf>
    <xf numFmtId="0" fontId="10" fillId="0" borderId="24" xfId="1" applyFont="1" applyBorder="1" applyAlignment="1">
      <alignment horizontal="center" vertical="center" wrapText="1"/>
    </xf>
    <xf numFmtId="0" fontId="9" fillId="0" borderId="30" xfId="1" applyFont="1" applyBorder="1" applyAlignment="1">
      <alignment horizontal="center" vertical="center" wrapText="1"/>
    </xf>
    <xf numFmtId="0" fontId="2" fillId="6" borderId="3" xfId="1" applyFont="1" applyFill="1" applyBorder="1" applyAlignment="1">
      <alignment horizontal="center" vertical="center" wrapText="1"/>
    </xf>
    <xf numFmtId="0" fontId="10" fillId="0" borderId="28" xfId="1" applyFont="1" applyBorder="1" applyAlignment="1">
      <alignment horizontal="center" vertical="center" wrapText="1"/>
    </xf>
    <xf numFmtId="0" fontId="4" fillId="0" borderId="23" xfId="1" applyFont="1" applyBorder="1" applyAlignment="1">
      <alignment horizontal="center" vertical="center"/>
    </xf>
    <xf numFmtId="0" fontId="4" fillId="0" borderId="24" xfId="1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/>
    </xf>
    <xf numFmtId="0" fontId="4" fillId="0" borderId="22" xfId="1" applyFont="1" applyBorder="1" applyAlignment="1">
      <alignment horizontal="center" vertical="center"/>
    </xf>
    <xf numFmtId="0" fontId="4" fillId="0" borderId="26" xfId="1" applyFont="1" applyBorder="1" applyAlignment="1">
      <alignment horizontal="center" vertical="center"/>
    </xf>
    <xf numFmtId="0" fontId="4" fillId="0" borderId="27" xfId="1" applyFont="1" applyBorder="1" applyAlignment="1">
      <alignment horizontal="center" vertical="center"/>
    </xf>
    <xf numFmtId="0" fontId="4" fillId="0" borderId="28" xfId="1" applyFont="1" applyBorder="1" applyAlignment="1">
      <alignment horizontal="center" vertical="center"/>
    </xf>
    <xf numFmtId="0" fontId="4" fillId="0" borderId="29" xfId="1" applyFont="1" applyBorder="1" applyAlignment="1">
      <alignment horizontal="center" vertical="center"/>
    </xf>
    <xf numFmtId="0" fontId="4" fillId="0" borderId="30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2" fontId="6" fillId="0" borderId="12" xfId="1" applyNumberFormat="1" applyFont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26" xfId="1" applyFont="1" applyFill="1" applyBorder="1" applyAlignment="1">
      <alignment horizontal="center" vertical="center"/>
    </xf>
    <xf numFmtId="0" fontId="10" fillId="5" borderId="7" xfId="1" applyFont="1" applyFill="1" applyBorder="1" applyAlignment="1">
      <alignment horizontal="center" vertical="center" wrapText="1"/>
    </xf>
    <xf numFmtId="0" fontId="10" fillId="5" borderId="6" xfId="1" applyFont="1" applyFill="1" applyBorder="1" applyAlignment="1">
      <alignment horizontal="center" vertical="center" wrapText="1"/>
    </xf>
    <xf numFmtId="0" fontId="10" fillId="5" borderId="26" xfId="1" applyFont="1" applyFill="1" applyBorder="1" applyAlignment="1">
      <alignment horizontal="center" vertical="center" wrapText="1"/>
    </xf>
    <xf numFmtId="0" fontId="8" fillId="5" borderId="11" xfId="1" applyFont="1" applyFill="1" applyBorder="1" applyAlignment="1">
      <alignment horizontal="center" vertical="center"/>
    </xf>
    <xf numFmtId="0" fontId="10" fillId="5" borderId="24" xfId="1" applyFont="1" applyFill="1" applyBorder="1" applyAlignment="1">
      <alignment horizontal="center" vertical="center" wrapText="1"/>
    </xf>
    <xf numFmtId="0" fontId="8" fillId="5" borderId="24" xfId="1" applyFont="1" applyFill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5" borderId="25" xfId="1" applyFont="1" applyFill="1" applyBorder="1" applyAlignment="1">
      <alignment horizontal="center" vertical="center"/>
    </xf>
    <xf numFmtId="0" fontId="10" fillId="5" borderId="25" xfId="1" applyFont="1" applyFill="1" applyBorder="1" applyAlignment="1">
      <alignment horizontal="center" vertical="center"/>
    </xf>
    <xf numFmtId="0" fontId="10" fillId="5" borderId="12" xfId="1" applyFont="1" applyFill="1" applyBorder="1" applyAlignment="1">
      <alignment horizontal="center" vertical="center" wrapText="1"/>
    </xf>
    <xf numFmtId="49" fontId="6" fillId="21" borderId="22" xfId="1" applyNumberFormat="1" applyFont="1" applyFill="1" applyBorder="1" applyAlignment="1">
      <alignment horizontal="center" vertical="center"/>
    </xf>
    <xf numFmtId="49" fontId="6" fillId="21" borderId="23" xfId="1" applyNumberFormat="1" applyFont="1" applyFill="1" applyBorder="1" applyAlignment="1">
      <alignment horizontal="center" vertical="center"/>
    </xf>
    <xf numFmtId="49" fontId="6" fillId="22" borderId="23" xfId="1" applyNumberFormat="1" applyFont="1" applyFill="1" applyBorder="1" applyAlignment="1">
      <alignment horizontal="center" vertical="center"/>
    </xf>
    <xf numFmtId="49" fontId="6" fillId="0" borderId="23" xfId="1" applyNumberFormat="1" applyFont="1" applyBorder="1" applyAlignment="1">
      <alignment horizontal="center" vertical="center"/>
    </xf>
    <xf numFmtId="49" fontId="6" fillId="22" borderId="26" xfId="1" applyNumberFormat="1" applyFont="1" applyFill="1" applyBorder="1" applyAlignment="1">
      <alignment horizontal="center" vertical="center"/>
    </xf>
    <xf numFmtId="49" fontId="6" fillId="0" borderId="22" xfId="1" applyNumberFormat="1" applyFont="1" applyBorder="1" applyAlignment="1">
      <alignment horizontal="center" vertical="center"/>
    </xf>
    <xf numFmtId="49" fontId="8" fillId="5" borderId="26" xfId="1" applyNumberFormat="1" applyFont="1" applyFill="1" applyBorder="1" applyAlignment="1">
      <alignment horizontal="center" vertical="center"/>
    </xf>
    <xf numFmtId="49" fontId="6" fillId="0" borderId="26" xfId="1" applyNumberFormat="1" applyFont="1" applyBorder="1" applyAlignment="1">
      <alignment horizontal="center" vertical="center"/>
    </xf>
    <xf numFmtId="49" fontId="6" fillId="0" borderId="29" xfId="1" applyNumberFormat="1" applyFont="1" applyBorder="1" applyAlignment="1">
      <alignment horizontal="center" vertical="center"/>
    </xf>
    <xf numFmtId="49" fontId="8" fillId="26" borderId="40" xfId="1" applyNumberFormat="1" applyFont="1" applyFill="1" applyBorder="1" applyAlignment="1">
      <alignment horizontal="center" vertical="center"/>
    </xf>
    <xf numFmtId="49" fontId="6" fillId="22" borderId="29" xfId="1" applyNumberFormat="1" applyFont="1" applyFill="1" applyBorder="1" applyAlignment="1">
      <alignment horizontal="center" vertical="center"/>
    </xf>
    <xf numFmtId="49" fontId="6" fillId="21" borderId="26" xfId="1" applyNumberFormat="1" applyFont="1" applyFill="1" applyBorder="1" applyAlignment="1">
      <alignment horizontal="center" vertical="center"/>
    </xf>
    <xf numFmtId="0" fontId="7" fillId="0" borderId="40" xfId="1" applyFont="1" applyBorder="1" applyAlignment="1">
      <alignment horizontal="center" vertical="center"/>
    </xf>
    <xf numFmtId="0" fontId="5" fillId="16" borderId="7" xfId="1" applyFont="1" applyFill="1" applyBorder="1" applyAlignment="1">
      <alignment horizontal="center" vertical="center"/>
    </xf>
    <xf numFmtId="0" fontId="5" fillId="17" borderId="6" xfId="1" applyFont="1" applyFill="1" applyBorder="1" applyAlignment="1">
      <alignment horizontal="center" vertical="center"/>
    </xf>
    <xf numFmtId="0" fontId="5" fillId="18" borderId="26" xfId="1" applyFont="1" applyFill="1" applyBorder="1" applyAlignment="1">
      <alignment horizontal="center" vertical="center"/>
    </xf>
    <xf numFmtId="0" fontId="5" fillId="19" borderId="7" xfId="1" applyFont="1" applyFill="1" applyBorder="1" applyAlignment="1">
      <alignment horizontal="center" vertical="center" wrapText="1"/>
    </xf>
    <xf numFmtId="0" fontId="5" fillId="11" borderId="6" xfId="1" applyFont="1" applyFill="1" applyBorder="1" applyAlignment="1">
      <alignment horizontal="center" vertical="center" wrapText="1"/>
    </xf>
    <xf numFmtId="0" fontId="5" fillId="20" borderId="26" xfId="1" applyFont="1" applyFill="1" applyBorder="1" applyAlignment="1">
      <alignment horizontal="center" vertical="center" wrapText="1"/>
    </xf>
    <xf numFmtId="0" fontId="2" fillId="3" borderId="4" xfId="1" applyFont="1" applyFill="1" applyBorder="1" applyAlignment="1">
      <alignment horizontal="center" vertical="center" wrapText="1"/>
    </xf>
    <xf numFmtId="0" fontId="2" fillId="3" borderId="3" xfId="1" applyFont="1" applyFill="1" applyBorder="1" applyAlignment="1">
      <alignment horizontal="center" vertical="center" wrapText="1"/>
    </xf>
    <xf numFmtId="0" fontId="2" fillId="7" borderId="3" xfId="1" applyFont="1" applyFill="1" applyBorder="1" applyAlignment="1">
      <alignment horizontal="center" vertical="center" wrapText="1"/>
    </xf>
    <xf numFmtId="0" fontId="2" fillId="8" borderId="3" xfId="1" applyFont="1" applyFill="1" applyBorder="1" applyAlignment="1">
      <alignment horizontal="center" vertical="center" wrapText="1"/>
    </xf>
    <xf numFmtId="0" fontId="2" fillId="9" borderId="3" xfId="1" applyFont="1" applyFill="1" applyBorder="1" applyAlignment="1">
      <alignment horizontal="center" vertical="center" wrapText="1"/>
    </xf>
    <xf numFmtId="0" fontId="2" fillId="10" borderId="3" xfId="1" applyFont="1" applyFill="1" applyBorder="1" applyAlignment="1">
      <alignment horizontal="center" vertical="center" wrapText="1"/>
    </xf>
    <xf numFmtId="0" fontId="2" fillId="11" borderId="3" xfId="1" applyFont="1" applyFill="1" applyBorder="1" applyAlignment="1">
      <alignment horizontal="center" vertical="center" wrapText="1"/>
    </xf>
    <xf numFmtId="0" fontId="2" fillId="12" borderId="3" xfId="1" applyFont="1" applyFill="1" applyBorder="1" applyAlignment="1">
      <alignment horizontal="center" vertical="center" wrapText="1"/>
    </xf>
    <xf numFmtId="0" fontId="2" fillId="13" borderId="3" xfId="1" applyFont="1" applyFill="1" applyBorder="1" applyAlignment="1">
      <alignment horizontal="center" vertical="center" wrapText="1"/>
    </xf>
    <xf numFmtId="0" fontId="2" fillId="14" borderId="3" xfId="1" applyFont="1" applyFill="1" applyBorder="1" applyAlignment="1">
      <alignment horizontal="center" vertical="center" wrapText="1"/>
    </xf>
    <xf numFmtId="0" fontId="2" fillId="14" borderId="22" xfId="1" applyFont="1" applyFill="1" applyBorder="1" applyAlignment="1">
      <alignment horizontal="center" vertical="center" wrapText="1"/>
    </xf>
    <xf numFmtId="0" fontId="2" fillId="3" borderId="7" xfId="1" applyFont="1" applyFill="1" applyBorder="1" applyAlignment="1">
      <alignment horizontal="center" vertical="center" wrapText="1"/>
    </xf>
    <xf numFmtId="0" fontId="2" fillId="3" borderId="6" xfId="1" applyFont="1" applyFill="1" applyBorder="1" applyAlignment="1">
      <alignment horizontal="center" vertical="center" wrapText="1"/>
    </xf>
    <xf numFmtId="0" fontId="2" fillId="4" borderId="6" xfId="1" applyFont="1" applyFill="1" applyBorder="1" applyAlignment="1">
      <alignment horizontal="center" vertical="center" wrapText="1"/>
    </xf>
    <xf numFmtId="0" fontId="2" fillId="5" borderId="6" xfId="1" applyFont="1" applyFill="1" applyBorder="1" applyAlignment="1">
      <alignment horizontal="center" vertical="center" wrapText="1"/>
    </xf>
    <xf numFmtId="0" fontId="2" fillId="6" borderId="6" xfId="1" applyFont="1" applyFill="1" applyBorder="1" applyAlignment="1">
      <alignment horizontal="center" vertical="center" wrapText="1"/>
    </xf>
    <xf numFmtId="0" fontId="2" fillId="7" borderId="6" xfId="1" applyFont="1" applyFill="1" applyBorder="1" applyAlignment="1">
      <alignment horizontal="center" vertical="center" wrapText="1"/>
    </xf>
    <xf numFmtId="0" fontId="2" fillId="8" borderId="6" xfId="1" applyFont="1" applyFill="1" applyBorder="1" applyAlignment="1">
      <alignment horizontal="center" vertical="center" wrapText="1"/>
    </xf>
    <xf numFmtId="0" fontId="2" fillId="9" borderId="6" xfId="1" applyFont="1" applyFill="1" applyBorder="1" applyAlignment="1">
      <alignment horizontal="center" vertical="center" wrapText="1"/>
    </xf>
    <xf numFmtId="0" fontId="2" fillId="10" borderId="6" xfId="1" applyFont="1" applyFill="1" applyBorder="1" applyAlignment="1">
      <alignment horizontal="center" vertical="center" wrapText="1"/>
    </xf>
    <xf numFmtId="0" fontId="2" fillId="11" borderId="6" xfId="1" applyFont="1" applyFill="1" applyBorder="1" applyAlignment="1">
      <alignment horizontal="center" vertical="center" wrapText="1"/>
    </xf>
    <xf numFmtId="0" fontId="2" fillId="12" borderId="6" xfId="1" applyFont="1" applyFill="1" applyBorder="1" applyAlignment="1">
      <alignment horizontal="center" vertical="center" wrapText="1"/>
    </xf>
    <xf numFmtId="0" fontId="2" fillId="13" borderId="6" xfId="1" applyFont="1" applyFill="1" applyBorder="1" applyAlignment="1">
      <alignment horizontal="center" vertical="center" wrapText="1"/>
    </xf>
    <xf numFmtId="0" fontId="2" fillId="14" borderId="6" xfId="1" applyFont="1" applyFill="1" applyBorder="1" applyAlignment="1">
      <alignment horizontal="center" vertical="center" wrapText="1"/>
    </xf>
    <xf numFmtId="0" fontId="2" fillId="14" borderId="26" xfId="1" applyFont="1" applyFill="1" applyBorder="1" applyAlignment="1">
      <alignment horizontal="center" vertical="center" wrapText="1"/>
    </xf>
    <xf numFmtId="0" fontId="2" fillId="15" borderId="7" xfId="1" applyFont="1" applyFill="1" applyBorder="1" applyAlignment="1">
      <alignment horizontal="center" vertical="center" wrapText="1"/>
    </xf>
    <xf numFmtId="0" fontId="2" fillId="15" borderId="26" xfId="1" applyFont="1" applyFill="1" applyBorder="1" applyAlignment="1">
      <alignment horizontal="center" vertical="center" wrapText="1"/>
    </xf>
    <xf numFmtId="0" fontId="0" fillId="28" borderId="0" xfId="0" applyFill="1"/>
    <xf numFmtId="0" fontId="0" fillId="29" borderId="0" xfId="0" applyFill="1"/>
    <xf numFmtId="0" fontId="29" fillId="27" borderId="0" xfId="0" applyFont="1" applyFill="1"/>
    <xf numFmtId="0" fontId="30" fillId="30" borderId="37" xfId="0" applyFont="1" applyFill="1" applyBorder="1"/>
    <xf numFmtId="0" fontId="30" fillId="30" borderId="13" xfId="0" applyFont="1" applyFill="1" applyBorder="1"/>
    <xf numFmtId="0" fontId="2" fillId="15" borderId="2" xfId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4" fillId="0" borderId="2" xfId="1" applyFont="1" applyBorder="1" applyAlignment="1">
      <alignment horizontal="center"/>
    </xf>
    <xf numFmtId="2" fontId="13" fillId="0" borderId="2" xfId="0" applyNumberFormat="1" applyFont="1" applyBorder="1" applyAlignment="1">
      <alignment horizontal="center" vertical="center"/>
    </xf>
    <xf numFmtId="0" fontId="0" fillId="23" borderId="0" xfId="0" applyFill="1" applyAlignment="1">
      <alignment horizontal="left" wrapText="1" indent="1"/>
    </xf>
    <xf numFmtId="0" fontId="0" fillId="23" borderId="0" xfId="0" applyFill="1" applyAlignment="1">
      <alignment horizontal="left" indent="1"/>
    </xf>
    <xf numFmtId="0" fontId="33" fillId="23" borderId="0" xfId="0" applyFont="1" applyFill="1" applyAlignment="1">
      <alignment horizontal="left" indent="1"/>
    </xf>
    <xf numFmtId="0" fontId="0" fillId="23" borderId="42" xfId="0" applyFill="1" applyBorder="1" applyAlignment="1">
      <alignment horizontal="left" indent="1"/>
    </xf>
    <xf numFmtId="0" fontId="0" fillId="23" borderId="0" xfId="0" applyFill="1" applyAlignment="1">
      <alignment horizontal="center" vertical="center"/>
    </xf>
    <xf numFmtId="0" fontId="0" fillId="23" borderId="0" xfId="0" applyFill="1" applyAlignment="1">
      <alignment horizontal="left" vertical="center"/>
    </xf>
    <xf numFmtId="0" fontId="33" fillId="23" borderId="0" xfId="0" applyFont="1" applyFill="1" applyAlignment="1">
      <alignment horizontal="left" vertical="center"/>
    </xf>
    <xf numFmtId="0" fontId="12" fillId="23" borderId="43" xfId="0" applyFont="1" applyFill="1" applyBorder="1" applyAlignment="1" applyProtection="1">
      <alignment horizontal="left" vertical="center" wrapText="1"/>
      <protection locked="0"/>
    </xf>
    <xf numFmtId="0" fontId="35" fillId="23" borderId="41" xfId="4" applyFont="1" applyFill="1" applyAlignment="1" applyProtection="1">
      <alignment horizontal="center" vertical="center" wrapText="1"/>
    </xf>
    <xf numFmtId="0" fontId="12" fillId="23" borderId="0" xfId="0" applyFont="1" applyFill="1" applyAlignment="1">
      <alignment horizontal="left" vertical="center" wrapText="1"/>
    </xf>
    <xf numFmtId="0" fontId="5" fillId="23" borderId="0" xfId="0" applyFont="1" applyFill="1" applyAlignment="1">
      <alignment horizontal="center" vertical="center"/>
    </xf>
    <xf numFmtId="0" fontId="13" fillId="23" borderId="0" xfId="0" applyFont="1" applyFill="1" applyAlignment="1">
      <alignment horizontal="left" vertical="center"/>
    </xf>
    <xf numFmtId="1" fontId="33" fillId="23" borderId="0" xfId="0" applyNumberFormat="1" applyFont="1" applyFill="1" applyAlignment="1">
      <alignment horizontal="center" vertical="center"/>
    </xf>
    <xf numFmtId="0" fontId="36" fillId="23" borderId="0" xfId="0" applyFont="1" applyFill="1" applyAlignment="1">
      <alignment horizontal="left" vertical="center"/>
    </xf>
    <xf numFmtId="0" fontId="33" fillId="23" borderId="0" xfId="0" applyFont="1" applyFill="1" applyAlignment="1">
      <alignment horizontal="center" vertical="center"/>
    </xf>
    <xf numFmtId="0" fontId="0" fillId="23" borderId="0" xfId="0" applyFill="1"/>
    <xf numFmtId="164" fontId="33" fillId="28" borderId="0" xfId="0" applyNumberFormat="1" applyFont="1" applyFill="1" applyAlignment="1">
      <alignment horizontal="center" vertical="center"/>
    </xf>
    <xf numFmtId="0" fontId="35" fillId="23" borderId="41" xfId="4" applyFont="1" applyFill="1" applyAlignment="1" applyProtection="1">
      <alignment horizontal="center" vertical="center"/>
    </xf>
    <xf numFmtId="0" fontId="34" fillId="23" borderId="42" xfId="3" applyFont="1" applyFill="1" applyBorder="1" applyAlignment="1" applyProtection="1">
      <alignment horizontal="left" vertical="center" indent="1"/>
    </xf>
    <xf numFmtId="0" fontId="0" fillId="0" borderId="0" xfId="0" applyAlignment="1">
      <alignment wrapText="1"/>
    </xf>
    <xf numFmtId="0" fontId="0" fillId="23" borderId="2" xfId="0" applyFill="1" applyBorder="1"/>
    <xf numFmtId="14" fontId="16" fillId="0" borderId="2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center"/>
    </xf>
    <xf numFmtId="14" fontId="15" fillId="0" borderId="12" xfId="1" applyNumberFormat="1" applyFont="1" applyBorder="1" applyAlignment="1">
      <alignment horizontal="center" vertical="center" wrapText="1"/>
    </xf>
    <xf numFmtId="0" fontId="10" fillId="0" borderId="13" xfId="1" applyFont="1" applyBorder="1" applyAlignment="1">
      <alignment horizontal="center" vertical="top" wrapText="1"/>
    </xf>
    <xf numFmtId="0" fontId="37" fillId="0" borderId="5" xfId="1" applyFont="1" applyBorder="1" applyAlignment="1">
      <alignment horizontal="center" vertical="center" wrapText="1"/>
    </xf>
    <xf numFmtId="0" fontId="10" fillId="0" borderId="4" xfId="1" applyFont="1" applyBorder="1" applyAlignment="1">
      <alignment horizontal="center" vertical="center" wrapText="1"/>
    </xf>
    <xf numFmtId="14" fontId="9" fillId="0" borderId="30" xfId="1" applyNumberFormat="1" applyFont="1" applyBorder="1" applyAlignment="1">
      <alignment horizontal="center" vertical="center" wrapText="1"/>
    </xf>
    <xf numFmtId="0" fontId="0" fillId="0" borderId="45" xfId="0" applyBorder="1" applyAlignment="1">
      <alignment wrapText="1"/>
    </xf>
    <xf numFmtId="0" fontId="0" fillId="0" borderId="46" xfId="0" applyBorder="1" applyAlignment="1">
      <alignment wrapText="1"/>
    </xf>
    <xf numFmtId="0" fontId="0" fillId="0" borderId="46" xfId="0" applyBorder="1" applyAlignment="1">
      <alignment horizontal="center" vertical="center" wrapText="1"/>
    </xf>
    <xf numFmtId="14" fontId="9" fillId="0" borderId="9" xfId="1" applyNumberFormat="1" applyFont="1" applyBorder="1" applyAlignment="1">
      <alignment horizontal="center" vertical="center" wrapText="1"/>
    </xf>
    <xf numFmtId="0" fontId="9" fillId="0" borderId="27" xfId="1" applyFont="1" applyBorder="1" applyAlignment="1">
      <alignment horizontal="center" vertical="center"/>
    </xf>
    <xf numFmtId="0" fontId="9" fillId="0" borderId="24" xfId="1" applyFont="1" applyBorder="1" applyAlignment="1">
      <alignment horizontal="center" vertical="center"/>
    </xf>
    <xf numFmtId="0" fontId="24" fillId="0" borderId="32" xfId="0" applyFont="1" applyBorder="1" applyAlignment="1">
      <alignment wrapText="1"/>
    </xf>
    <xf numFmtId="0" fontId="10" fillId="5" borderId="12" xfId="1" applyFont="1" applyFill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10" fillId="0" borderId="2" xfId="1" applyFont="1" applyBorder="1" applyAlignment="1">
      <alignment horizontal="center" vertical="center" wrapText="1"/>
    </xf>
    <xf numFmtId="14" fontId="16" fillId="0" borderId="9" xfId="1" applyNumberFormat="1" applyFont="1" applyBorder="1" applyAlignment="1">
      <alignment horizontal="center" vertical="center" wrapText="1"/>
    </xf>
    <xf numFmtId="14" fontId="4" fillId="0" borderId="0" xfId="1" applyNumberFormat="1" applyFont="1" applyAlignment="1">
      <alignment horizontal="center" vertical="center"/>
    </xf>
    <xf numFmtId="37" fontId="7" fillId="23" borderId="37" xfId="1" applyNumberFormat="1" applyFont="1" applyFill="1" applyBorder="1" applyAlignment="1">
      <alignment horizontal="center" vertical="center"/>
    </xf>
    <xf numFmtId="37" fontId="7" fillId="23" borderId="13" xfId="1" applyNumberFormat="1" applyFont="1" applyFill="1" applyBorder="1" applyAlignment="1">
      <alignment horizontal="center" vertical="center"/>
    </xf>
    <xf numFmtId="37" fontId="8" fillId="23" borderId="13" xfId="1" applyNumberFormat="1" applyFont="1" applyFill="1" applyBorder="1" applyAlignment="1">
      <alignment horizontal="center" vertical="center"/>
    </xf>
    <xf numFmtId="37" fontId="7" fillId="23" borderId="19" xfId="1" applyNumberFormat="1" applyFont="1" applyFill="1" applyBorder="1" applyAlignment="1">
      <alignment horizontal="center" vertical="center"/>
    </xf>
    <xf numFmtId="37" fontId="7" fillId="23" borderId="33" xfId="1" applyNumberFormat="1" applyFont="1" applyFill="1" applyBorder="1" applyAlignment="1">
      <alignment horizontal="center" vertical="center"/>
    </xf>
    <xf numFmtId="37" fontId="7" fillId="23" borderId="2" xfId="1" applyNumberFormat="1" applyFont="1" applyFill="1" applyBorder="1" applyAlignment="1">
      <alignment horizontal="center" vertical="center"/>
    </xf>
    <xf numFmtId="37" fontId="8" fillId="23" borderId="2" xfId="1" applyNumberFormat="1" applyFont="1" applyFill="1" applyBorder="1" applyAlignment="1">
      <alignment horizontal="center" vertical="center"/>
    </xf>
    <xf numFmtId="37" fontId="7" fillId="23" borderId="15" xfId="1" applyNumberFormat="1" applyFont="1" applyFill="1" applyBorder="1" applyAlignment="1">
      <alignment horizontal="center" vertical="center"/>
    </xf>
    <xf numFmtId="37" fontId="7" fillId="23" borderId="34" xfId="1" applyNumberFormat="1" applyFont="1" applyFill="1" applyBorder="1" applyAlignment="1">
      <alignment horizontal="center" vertical="center"/>
    </xf>
    <xf numFmtId="37" fontId="7" fillId="23" borderId="12" xfId="1" applyNumberFormat="1" applyFont="1" applyFill="1" applyBorder="1" applyAlignment="1">
      <alignment horizontal="center" vertical="center"/>
    </xf>
    <xf numFmtId="37" fontId="8" fillId="23" borderId="12" xfId="1" applyNumberFormat="1" applyFont="1" applyFill="1" applyBorder="1" applyAlignment="1">
      <alignment horizontal="center" vertical="center"/>
    </xf>
    <xf numFmtId="37" fontId="7" fillId="23" borderId="16" xfId="1" applyNumberFormat="1" applyFont="1" applyFill="1" applyBorder="1" applyAlignment="1">
      <alignment horizontal="center" vertical="center"/>
    </xf>
    <xf numFmtId="37" fontId="7" fillId="23" borderId="35" xfId="1" applyNumberFormat="1" applyFont="1" applyFill="1" applyBorder="1" applyAlignment="1">
      <alignment horizontal="center" vertical="center"/>
    </xf>
    <xf numFmtId="37" fontId="7" fillId="23" borderId="3" xfId="1" applyNumberFormat="1" applyFont="1" applyFill="1" applyBorder="1" applyAlignment="1">
      <alignment horizontal="center" vertical="center"/>
    </xf>
    <xf numFmtId="37" fontId="8" fillId="23" borderId="3" xfId="1" applyNumberFormat="1" applyFont="1" applyFill="1" applyBorder="1" applyAlignment="1">
      <alignment horizontal="center" vertical="center"/>
    </xf>
    <xf numFmtId="37" fontId="7" fillId="23" borderId="17" xfId="1" applyNumberFormat="1" applyFont="1" applyFill="1" applyBorder="1" applyAlignment="1">
      <alignment horizontal="center" vertical="center"/>
    </xf>
    <xf numFmtId="37" fontId="8" fillId="5" borderId="36" xfId="1" applyNumberFormat="1" applyFont="1" applyFill="1" applyBorder="1" applyAlignment="1">
      <alignment horizontal="center" vertical="center"/>
    </xf>
    <xf numFmtId="37" fontId="8" fillId="5" borderId="6" xfId="1" applyNumberFormat="1" applyFont="1" applyFill="1" applyBorder="1" applyAlignment="1">
      <alignment horizontal="center" vertical="center"/>
    </xf>
    <xf numFmtId="37" fontId="8" fillId="5" borderId="18" xfId="1" applyNumberFormat="1" applyFont="1" applyFill="1" applyBorder="1" applyAlignment="1">
      <alignment horizontal="center" vertical="center"/>
    </xf>
    <xf numFmtId="37" fontId="27" fillId="0" borderId="3" xfId="1" applyNumberFormat="1" applyFont="1" applyBorder="1" applyAlignment="1">
      <alignment horizontal="center" vertical="center"/>
    </xf>
    <xf numFmtId="37" fontId="10" fillId="0" borderId="3" xfId="1" applyNumberFormat="1" applyFont="1" applyBorder="1" applyAlignment="1">
      <alignment horizontal="center" vertical="center"/>
    </xf>
    <xf numFmtId="37" fontId="27" fillId="0" borderId="2" xfId="1" applyNumberFormat="1" applyFont="1" applyBorder="1" applyAlignment="1">
      <alignment horizontal="center" vertical="center"/>
    </xf>
    <xf numFmtId="37" fontId="10" fillId="0" borderId="2" xfId="1" applyNumberFormat="1" applyFont="1" applyBorder="1" applyAlignment="1">
      <alignment horizontal="center" vertical="center"/>
    </xf>
    <xf numFmtId="37" fontId="27" fillId="0" borderId="6" xfId="1" applyNumberFormat="1" applyFont="1" applyBorder="1" applyAlignment="1">
      <alignment horizontal="center" vertical="center"/>
    </xf>
    <xf numFmtId="37" fontId="10" fillId="0" borderId="6" xfId="1" applyNumberFormat="1" applyFont="1" applyBorder="1" applyAlignment="1">
      <alignment horizontal="center" vertical="center"/>
    </xf>
    <xf numFmtId="37" fontId="27" fillId="0" borderId="12" xfId="1" applyNumberFormat="1" applyFont="1" applyBorder="1" applyAlignment="1">
      <alignment horizontal="center" vertical="center"/>
    </xf>
    <xf numFmtId="37" fontId="7" fillId="23" borderId="38" xfId="1" applyNumberFormat="1" applyFont="1" applyFill="1" applyBorder="1" applyAlignment="1">
      <alignment horizontal="center" vertical="center"/>
    </xf>
    <xf numFmtId="37" fontId="7" fillId="23" borderId="8" xfId="1" applyNumberFormat="1" applyFont="1" applyFill="1" applyBorder="1" applyAlignment="1">
      <alignment horizontal="center" vertical="center"/>
    </xf>
    <xf numFmtId="37" fontId="28" fillId="23" borderId="8" xfId="1" applyNumberFormat="1" applyFont="1" applyFill="1" applyBorder="1" applyAlignment="1">
      <alignment horizontal="center" vertical="center"/>
    </xf>
    <xf numFmtId="37" fontId="27" fillId="0" borderId="8" xfId="1" applyNumberFormat="1" applyFont="1" applyBorder="1" applyAlignment="1">
      <alignment horizontal="center" vertical="center"/>
    </xf>
    <xf numFmtId="37" fontId="7" fillId="23" borderId="20" xfId="1" applyNumberFormat="1" applyFont="1" applyFill="1" applyBorder="1" applyAlignment="1">
      <alignment horizontal="center" vertical="center"/>
    </xf>
    <xf numFmtId="37" fontId="7" fillId="23" borderId="39" xfId="1" applyNumberFormat="1" applyFont="1" applyFill="1" applyBorder="1" applyAlignment="1">
      <alignment horizontal="center" vertical="center"/>
    </xf>
    <xf numFmtId="37" fontId="7" fillId="23" borderId="14" xfId="1" applyNumberFormat="1" applyFont="1" applyFill="1" applyBorder="1" applyAlignment="1">
      <alignment horizontal="center" vertical="center"/>
    </xf>
    <xf numFmtId="37" fontId="8" fillId="23" borderId="14" xfId="1" applyNumberFormat="1" applyFont="1" applyFill="1" applyBorder="1" applyAlignment="1">
      <alignment horizontal="center" vertical="center"/>
    </xf>
    <xf numFmtId="37" fontId="7" fillId="23" borderId="21" xfId="1" applyNumberFormat="1" applyFont="1" applyFill="1" applyBorder="1" applyAlignment="1">
      <alignment horizontal="center" vertical="center"/>
    </xf>
    <xf numFmtId="37" fontId="8" fillId="23" borderId="8" xfId="1" applyNumberFormat="1" applyFont="1" applyFill="1" applyBorder="1" applyAlignment="1">
      <alignment horizontal="center" vertical="center"/>
    </xf>
    <xf numFmtId="37" fontId="8" fillId="5" borderId="34" xfId="1" applyNumberFormat="1" applyFont="1" applyFill="1" applyBorder="1" applyAlignment="1">
      <alignment horizontal="center" vertical="center"/>
    </xf>
    <xf numFmtId="37" fontId="8" fillId="5" borderId="12" xfId="1" applyNumberFormat="1" applyFont="1" applyFill="1" applyBorder="1" applyAlignment="1">
      <alignment horizontal="center" vertical="center"/>
    </xf>
    <xf numFmtId="37" fontId="28" fillId="5" borderId="12" xfId="1" applyNumberFormat="1" applyFont="1" applyFill="1" applyBorder="1" applyAlignment="1">
      <alignment horizontal="center" vertical="center"/>
    </xf>
    <xf numFmtId="37" fontId="8" fillId="5" borderId="16" xfId="1" applyNumberFormat="1" applyFont="1" applyFill="1" applyBorder="1" applyAlignment="1">
      <alignment horizontal="center" vertical="center"/>
    </xf>
    <xf numFmtId="37" fontId="7" fillId="23" borderId="36" xfId="1" applyNumberFormat="1" applyFont="1" applyFill="1" applyBorder="1" applyAlignment="1">
      <alignment horizontal="center" vertical="center"/>
    </xf>
    <xf numFmtId="37" fontId="7" fillId="23" borderId="6" xfId="1" applyNumberFormat="1" applyFont="1" applyFill="1" applyBorder="1" applyAlignment="1">
      <alignment horizontal="center" vertical="center"/>
    </xf>
    <xf numFmtId="37" fontId="8" fillId="23" borderId="6" xfId="1" applyNumberFormat="1" applyFont="1" applyFill="1" applyBorder="1" applyAlignment="1">
      <alignment horizontal="center" vertical="center"/>
    </xf>
    <xf numFmtId="37" fontId="7" fillId="23" borderId="18" xfId="1" applyNumberFormat="1" applyFont="1" applyFill="1" applyBorder="1" applyAlignment="1">
      <alignment horizontal="center" vertical="center"/>
    </xf>
    <xf numFmtId="0" fontId="0" fillId="24" borderId="0" xfId="0" applyFill="1"/>
    <xf numFmtId="0" fontId="30" fillId="23" borderId="2" xfId="0" applyFont="1" applyFill="1" applyBorder="1"/>
    <xf numFmtId="37" fontId="7" fillId="0" borderId="13" xfId="1" applyNumberFormat="1" applyFont="1" applyBorder="1" applyAlignment="1">
      <alignment horizontal="center" vertical="center"/>
    </xf>
    <xf numFmtId="37" fontId="8" fillId="0" borderId="13" xfId="1" applyNumberFormat="1" applyFont="1" applyBorder="1" applyAlignment="1">
      <alignment horizontal="center" vertical="center"/>
    </xf>
    <xf numFmtId="0" fontId="0" fillId="23" borderId="12" xfId="0" applyFill="1" applyBorder="1"/>
    <xf numFmtId="0" fontId="0" fillId="0" borderId="2" xfId="0" applyBorder="1"/>
    <xf numFmtId="0" fontId="30" fillId="0" borderId="2" xfId="0" applyFont="1" applyBorder="1"/>
    <xf numFmtId="0" fontId="29" fillId="31" borderId="2" xfId="0" applyFont="1" applyFill="1" applyBorder="1" applyAlignment="1">
      <alignment vertical="top"/>
    </xf>
    <xf numFmtId="0" fontId="29" fillId="31" borderId="15" xfId="0" applyFont="1" applyFill="1" applyBorder="1" applyAlignment="1">
      <alignment vertical="top"/>
    </xf>
    <xf numFmtId="0" fontId="39" fillId="0" borderId="0" xfId="0" applyFont="1"/>
    <xf numFmtId="49" fontId="29" fillId="12" borderId="0" xfId="0" applyNumberFormat="1" applyFont="1" applyFill="1" applyAlignment="1">
      <alignment horizontal="center" wrapText="1"/>
    </xf>
    <xf numFmtId="49" fontId="30" fillId="30" borderId="13" xfId="0" applyNumberFormat="1" applyFont="1" applyFill="1" applyBorder="1"/>
    <xf numFmtId="49" fontId="0" fillId="23" borderId="0" xfId="0" applyNumberFormat="1" applyFill="1"/>
    <xf numFmtId="0" fontId="29" fillId="0" borderId="0" xfId="0" applyFont="1"/>
    <xf numFmtId="3" fontId="0" fillId="0" borderId="0" xfId="0" applyNumberFormat="1"/>
    <xf numFmtId="49" fontId="0" fillId="0" borderId="0" xfId="0" applyNumberFormat="1"/>
    <xf numFmtId="0" fontId="0" fillId="32" borderId="0" xfId="0" applyFill="1"/>
    <xf numFmtId="0" fontId="0" fillId="33" borderId="0" xfId="0" applyFill="1"/>
    <xf numFmtId="0" fontId="3" fillId="2" borderId="4" xfId="1" applyFont="1" applyFill="1" applyBorder="1" applyAlignment="1">
      <alignment horizontal="center" vertical="center" wrapText="1"/>
    </xf>
    <xf numFmtId="0" fontId="3" fillId="2" borderId="22" xfId="1" applyFont="1" applyFill="1" applyBorder="1" applyAlignment="1">
      <alignment horizontal="center" vertical="center" wrapText="1"/>
    </xf>
    <xf numFmtId="0" fontId="26" fillId="7" borderId="4" xfId="1" applyFont="1" applyFill="1" applyBorder="1" applyAlignment="1">
      <alignment horizontal="center" vertical="center" wrapText="1"/>
    </xf>
    <xf numFmtId="0" fontId="26" fillId="7" borderId="3" xfId="1" applyFont="1" applyFill="1" applyBorder="1" applyAlignment="1">
      <alignment horizontal="center" vertical="center"/>
    </xf>
    <xf numFmtId="0" fontId="26" fillId="7" borderId="22" xfId="1" applyFont="1" applyFill="1" applyBorder="1" applyAlignment="1">
      <alignment horizontal="center" vertical="center"/>
    </xf>
    <xf numFmtId="0" fontId="2" fillId="6" borderId="47" xfId="1" applyFont="1" applyFill="1" applyBorder="1" applyAlignment="1">
      <alignment horizontal="center" vertical="center" wrapText="1"/>
    </xf>
    <xf numFmtId="0" fontId="2" fillId="6" borderId="48" xfId="1" applyFont="1" applyFill="1" applyBorder="1" applyAlignment="1">
      <alignment horizontal="center" vertical="center" wrapText="1"/>
    </xf>
    <xf numFmtId="0" fontId="2" fillId="6" borderId="49" xfId="1" applyFont="1" applyFill="1" applyBorder="1" applyAlignment="1">
      <alignment horizontal="center" vertical="center" wrapText="1"/>
    </xf>
    <xf numFmtId="0" fontId="2" fillId="5" borderId="4" xfId="1" applyFont="1" applyFill="1" applyBorder="1" applyAlignment="1">
      <alignment horizontal="center" vertical="center" wrapText="1"/>
    </xf>
    <xf numFmtId="0" fontId="2" fillId="5" borderId="3" xfId="1" applyFont="1" applyFill="1" applyBorder="1" applyAlignment="1">
      <alignment horizontal="center" vertical="center" wrapText="1"/>
    </xf>
    <xf numFmtId="0" fontId="2" fillId="5" borderId="22" xfId="1" applyFont="1" applyFill="1" applyBorder="1" applyAlignment="1">
      <alignment horizontal="center" vertical="center" wrapText="1"/>
    </xf>
    <xf numFmtId="0" fontId="2" fillId="4" borderId="4" xfId="1" applyFont="1" applyFill="1" applyBorder="1" applyAlignment="1">
      <alignment horizontal="center" vertical="center" wrapText="1"/>
    </xf>
    <xf numFmtId="0" fontId="2" fillId="4" borderId="3" xfId="1" applyFont="1" applyFill="1" applyBorder="1" applyAlignment="1">
      <alignment horizontal="center" vertical="center" wrapText="1"/>
    </xf>
    <xf numFmtId="0" fontId="2" fillId="4" borderId="22" xfId="1" applyFont="1" applyFill="1" applyBorder="1" applyAlignment="1">
      <alignment horizontal="center" vertical="center" wrapText="1"/>
    </xf>
    <xf numFmtId="0" fontId="5" fillId="23" borderId="43" xfId="0" applyFon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29" fillId="25" borderId="44" xfId="0" applyFont="1" applyFill="1" applyBorder="1" applyAlignment="1">
      <alignment horizontal="center" vertical="center"/>
    </xf>
    <xf numFmtId="0" fontId="2" fillId="27" borderId="0" xfId="0" applyFont="1" applyFill="1" applyAlignment="1">
      <alignment horizontal="center" vertical="center"/>
    </xf>
  </cellXfs>
  <cellStyles count="5">
    <cellStyle name="Normal" xfId="0" builtinId="0"/>
    <cellStyle name="Normal 2" xfId="1" xr:uid="{8D578C7C-C0DE-4DA2-9ED8-AFAA9B517C7D}"/>
    <cellStyle name="Normal 3" xfId="2" xr:uid="{ECFE1BB3-6B4A-478F-8CCA-BEC3DE48A386}"/>
    <cellStyle name="Título" xfId="3" builtinId="15"/>
    <cellStyle name="Título 2" xfId="4" builtinId="17"/>
  </cellStyles>
  <dxfs count="8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969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32666</xdr:colOff>
      <xdr:row>46</xdr:row>
      <xdr:rowOff>11526</xdr:rowOff>
    </xdr:from>
    <xdr:to>
      <xdr:col>28</xdr:col>
      <xdr:colOff>304969</xdr:colOff>
      <xdr:row>63</xdr:row>
      <xdr:rowOff>134444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CDB065-6C55-407E-AA31-96F0A4F38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9" y="9852212"/>
          <a:ext cx="10657273" cy="485439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276225</xdr:colOff>
          <xdr:row>1</xdr:row>
          <xdr:rowOff>114300</xdr:rowOff>
        </xdr:from>
        <xdr:to>
          <xdr:col>34</xdr:col>
          <xdr:colOff>514350</xdr:colOff>
          <xdr:row>4</xdr:row>
          <xdr:rowOff>228600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7</xdr:row>
          <xdr:rowOff>152400</xdr:rowOff>
        </xdr:from>
        <xdr:to>
          <xdr:col>1</xdr:col>
          <xdr:colOff>1190625</xdr:colOff>
          <xdr:row>9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dbl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Campos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5</xdr:row>
          <xdr:rowOff>152400</xdr:rowOff>
        </xdr:from>
        <xdr:to>
          <xdr:col>1</xdr:col>
          <xdr:colOff>1190625</xdr:colOff>
          <xdr:row>7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dbl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3</xdr:row>
          <xdr:rowOff>123825</xdr:rowOff>
        </xdr:from>
        <xdr:to>
          <xdr:col>1</xdr:col>
          <xdr:colOff>1190625</xdr:colOff>
          <xdr:row>5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dbl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10</xdr:row>
          <xdr:rowOff>28575</xdr:rowOff>
        </xdr:from>
        <xdr:to>
          <xdr:col>1</xdr:col>
          <xdr:colOff>1190625</xdr:colOff>
          <xdr:row>11</xdr:row>
          <xdr:rowOff>142875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dbl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12</xdr:row>
          <xdr:rowOff>76200</xdr:rowOff>
        </xdr:from>
        <xdr:to>
          <xdr:col>1</xdr:col>
          <xdr:colOff>1190625</xdr:colOff>
          <xdr:row>14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dbl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14</xdr:row>
          <xdr:rowOff>142875</xdr:rowOff>
        </xdr:from>
        <xdr:to>
          <xdr:col>1</xdr:col>
          <xdr:colOff>1171575</xdr:colOff>
          <xdr:row>18</xdr:row>
          <xdr:rowOff>28575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dbl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Ejecucion multiple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44450</xdr:colOff>
      <xdr:row>5</xdr:row>
      <xdr:rowOff>28575</xdr:rowOff>
    </xdr:from>
    <xdr:to>
      <xdr:col>6</xdr:col>
      <xdr:colOff>38100</xdr:colOff>
      <xdr:row>16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47692CA-B346-4AAC-8B71-4600B429E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981075"/>
          <a:ext cx="3803650" cy="22383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50800</xdr:colOff>
      <xdr:row>24</xdr:row>
      <xdr:rowOff>69850</xdr:rowOff>
    </xdr:from>
    <xdr:to>
      <xdr:col>10</xdr:col>
      <xdr:colOff>165100</xdr:colOff>
      <xdr:row>33</xdr:row>
      <xdr:rowOff>1106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07AB303-B344-4B9B-A742-8B7250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4950" y="4641850"/>
          <a:ext cx="6972300" cy="16457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44451</xdr:colOff>
      <xdr:row>34</xdr:row>
      <xdr:rowOff>0</xdr:rowOff>
    </xdr:from>
    <xdr:to>
      <xdr:col>10</xdr:col>
      <xdr:colOff>139701</xdr:colOff>
      <xdr:row>42</xdr:row>
      <xdr:rowOff>112059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46F536B-BBD9-410F-9C7B-30DDF8247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1" y="6477000"/>
          <a:ext cx="6953250" cy="163605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38101</xdr:colOff>
      <xdr:row>45</xdr:row>
      <xdr:rowOff>31750</xdr:rowOff>
    </xdr:from>
    <xdr:to>
      <xdr:col>9</xdr:col>
      <xdr:colOff>44451</xdr:colOff>
      <xdr:row>60</xdr:row>
      <xdr:rowOff>69298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F882622-0F2B-4790-9053-11F7C3B68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1" y="8604250"/>
          <a:ext cx="6102350" cy="289504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oimedina/AppData/Local/Microsoft/Windows/Temporary%20Internet%20Files/Content.Outlook/YWXZ30Y7/Informe%20de%20Tiempos%20y%20Eficiencias%20Enero%20de%20200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oimedina/AppData/Local/Microsoft/Windows/Temporary%20Internet%20Files/Content.Outlook/YWXZ30Y7/Informe%20de%20Tiempos%20y%20Eficiencias%20Noviembre%20de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ovarango/Configuraci&#243;n%20local/Archivos%20temporales%20de%20Internet/OLK47/Informe%20de%20Tiempos%20y%20Eficiencias%20Junio%20de%202009%20(2)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microsoft.com/office/2019/04/relationships/externalLinkLongPath" Target="Programaci&#243;n%20de%20ausencias%20de%20empleados1?BFEA56CB" TargetMode="External"/><Relationship Id="rId1" Type="http://schemas.openxmlformats.org/officeDocument/2006/relationships/externalLinkPath" Target="file:///\\BFEA56CB\Programaci&#243;n%20de%20ausencias%20de%20empleados1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jgomez/Documents/MANTENIMIENTO/Cronograma%20Planeaci&#243;n%20de%20Paradas/Planeaci&#243;n%20de%20Paradas%20L&#237;nea%20&#201;lite%202025/Cronograma%20de%20Paradas%20L&#237;neas%20&#201;lite%202025%20-%20Rev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stobon.sharepoint.com/sites/PlaneadoresdeMantenimiento/Documentos%20compartidos/General/Planeaci&#243;n%20Paradas%20L&#237;neas%20&#201;lite%202025/Cronograma%20de%20Paradas%20L&#237;neas%20&#201;lite%202025%20-%20Rev02.xlsx" TargetMode="External"/></Relationships>
</file>

<file path=xl/externalLinks/_rels/externalLink7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postobon-my.sharepoint.com/personal/pracmt_postobon_com_co/Documents/Escritorio/PRACTICANTES/Practicante%20Mantenimiento%202025-02/Pruebas%20para%20planificacion%20de%20paradas/Cronograma%20de%20Paradas%20L&#237;neas%20&#201;lite%202025%20-%20Rev02.xlsx" TargetMode="External"/><Relationship Id="rId2" Type="http://schemas.microsoft.com/office/2019/04/relationships/externalLinkLongPath" Target="Cronograma%20de%20Paradas%20L&#237;neas%20&#201;lite%202025%20-%20Rev02.xlsx?BFEA56CB" TargetMode="External"/><Relationship Id="rId1" Type="http://schemas.openxmlformats.org/officeDocument/2006/relationships/externalLinkPath" Target="file:///\\BFEA56CB\Cronograma%20de%20Paradas%20L&#237;neas%20&#201;lite%202025%20-%20Rev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seosas"/>
      <sheetName val="Agua"/>
      <sheetName val="Jugos"/>
      <sheetName val="Ac. Gas"/>
      <sheetName val="Ac. Agua"/>
      <sheetName val="Ac. Jugos"/>
      <sheetName val="Base de Datos G"/>
      <sheetName val="Base de Datos A"/>
      <sheetName val="Base de Datos J"/>
      <sheetName val="Gascol Sur"/>
      <sheetName val="Lux"/>
      <sheetName val="Urabá"/>
      <sheetName val="Bello"/>
      <sheetName val="Barranquilla Norte"/>
      <sheetName val="Cartagena"/>
      <sheetName val="Santa Marta"/>
      <sheetName val="Cesar"/>
      <sheetName val="Córdoba"/>
      <sheetName val="Cali"/>
      <sheetName val="Dosquebradas"/>
      <sheetName val="Nariño"/>
      <sheetName val="Yumbo"/>
      <sheetName val="Huila"/>
      <sheetName val="Mariquita"/>
      <sheetName val="Hipinto"/>
      <sheetName val="Barrancabermeja"/>
      <sheetName val="Frontera"/>
      <sheetName val="Duitama"/>
      <sheetName val="Llano"/>
      <sheetName val="Gascol Centro"/>
      <sheetName val="Pereira"/>
      <sheetName val="Medellín"/>
      <sheetName val="Barranquilla Su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seosas"/>
      <sheetName val="Agua"/>
      <sheetName val="Jugos"/>
      <sheetName val="Acum. Gaseo."/>
      <sheetName val="Acum. Agua"/>
      <sheetName val="Acum. Jugos"/>
      <sheetName val="Base de Datos G"/>
      <sheetName val="Base de Datos A"/>
      <sheetName val="Base de Datos J"/>
      <sheetName val="Gascol Sur"/>
      <sheetName val="Lux"/>
      <sheetName val="Urabá"/>
      <sheetName val="Bello"/>
      <sheetName val="Barranquilla Norte"/>
      <sheetName val="Cartagena"/>
      <sheetName val="Santa Marta"/>
      <sheetName val="Cesar"/>
      <sheetName val="Córdoba"/>
      <sheetName val="Cali"/>
      <sheetName val="Dosquebradas"/>
      <sheetName val="Nariño"/>
      <sheetName val="Yumbo"/>
      <sheetName val="Huila"/>
      <sheetName val="Mariquita"/>
      <sheetName val="Hipinto"/>
      <sheetName val="Barrancabermeja"/>
      <sheetName val="Frontera"/>
      <sheetName val="Duitama"/>
      <sheetName val="Llano"/>
      <sheetName val="Gascol Centro"/>
      <sheetName val="Pereira"/>
      <sheetName val="Medellín"/>
      <sheetName val="Barranquilla Su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seosas"/>
      <sheetName val="Agua"/>
      <sheetName val="Jugos"/>
      <sheetName val="Ac. Gas"/>
      <sheetName val="Ac. Agua"/>
      <sheetName val="Ac. Jugos"/>
      <sheetName val="Base de Datos G"/>
      <sheetName val="Base de Datos A"/>
      <sheetName val="Base de Datos J"/>
      <sheetName val="Gascol Sur"/>
      <sheetName val="Lux"/>
      <sheetName val="Urabá"/>
      <sheetName val="Bello"/>
      <sheetName val="Barranquilla Norte"/>
      <sheetName val="Cartagena"/>
      <sheetName val="Santa Marta"/>
      <sheetName val="Cesar"/>
      <sheetName val="Córdoba"/>
      <sheetName val="Cali"/>
      <sheetName val="Dosquebradas"/>
      <sheetName val="Nariño"/>
      <sheetName val="Yumbo"/>
      <sheetName val="Huila"/>
      <sheetName val="Mariquita"/>
      <sheetName val="Hipinto"/>
      <sheetName val="Barrancabermeja"/>
      <sheetName val="Frontera"/>
      <sheetName val="Duitama"/>
      <sheetName val="Llano"/>
      <sheetName val="Gascol Centro"/>
      <sheetName val="Pereira"/>
      <sheetName val="Medellín"/>
      <sheetName val="Barranquilla Su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  <sheetName val="Nombres de los empleados"/>
      <sheetName val="Programación de ausencias de e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onograma Parada Postobón"/>
      <sheetName val="Enero"/>
      <sheetName val="Planeación de Paradas - Rev01 "/>
      <sheetName val="Conclusiones"/>
      <sheetName val="Planeación de Paradas"/>
      <sheetName val="Hoja4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onograma Parada Postobón"/>
      <sheetName val="Enero"/>
      <sheetName val="Planeación de Paradas - Rev01 "/>
      <sheetName val="Conclusiones"/>
      <sheetName val="Planeación de Paradas"/>
      <sheetName val="Hoja4"/>
      <sheetName val="Cronograma de Paradas Líneas Él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ronograma Parada Postobón"/>
      <sheetName val="Planeación de Paradas"/>
      <sheetName val="Planeación de Paradas - Rev01 "/>
      <sheetName val="Enero"/>
      <sheetName val="Conclusiones"/>
      <sheetName val="Hoja4"/>
      <sheetName val="Cronograma de Paradas Líneas Él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GASEOSAS LUX BOGOTÁ</v>
          </cell>
          <cell r="B2">
            <v>1</v>
          </cell>
        </row>
        <row r="3">
          <cell r="A3" t="str">
            <v>POSTOBÓN MALAMBO</v>
          </cell>
          <cell r="B3">
            <v>2</v>
          </cell>
        </row>
        <row r="4">
          <cell r="A4" t="str">
            <v>POSTOBÓN YUMBO</v>
          </cell>
          <cell r="B4">
            <v>3</v>
          </cell>
        </row>
        <row r="5">
          <cell r="A5" t="str">
            <v>POSTOBÓN BELLO</v>
          </cell>
          <cell r="B5">
            <v>4</v>
          </cell>
        </row>
        <row r="6">
          <cell r="A6" t="str">
            <v>GASEOSAS LUX PIEDECUESTA</v>
          </cell>
          <cell r="B6">
            <v>5</v>
          </cell>
        </row>
        <row r="7">
          <cell r="A7" t="str">
            <v>NUEVA GENERACION DE BEBIDAS</v>
          </cell>
          <cell r="B7">
            <v>6</v>
          </cell>
        </row>
        <row r="8">
          <cell r="A8" t="str">
            <v>GASCOL SUR</v>
          </cell>
          <cell r="B8">
            <v>7</v>
          </cell>
        </row>
        <row r="9">
          <cell r="A9" t="str">
            <v>GASCOL CENTRO</v>
          </cell>
          <cell r="B9">
            <v>8</v>
          </cell>
        </row>
        <row r="10">
          <cell r="A10" t="str">
            <v>POSTOBÓN MEDELLÍN</v>
          </cell>
          <cell r="B10">
            <v>9</v>
          </cell>
        </row>
        <row r="11">
          <cell r="A11" t="str">
            <v>POSTOBÓN PEREIRA</v>
          </cell>
          <cell r="B11">
            <v>10</v>
          </cell>
        </row>
        <row r="12">
          <cell r="A12" t="str">
            <v>GASEOSAS LUX DUITAMA</v>
          </cell>
          <cell r="B12">
            <v>11</v>
          </cell>
        </row>
      </sheetData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orge Luis Ardila Matajira" id="{CF519208-A743-4A1A-8BE1-F76470A7CEF5}" userId="S::jardilam@postobon.com.co::0812c78a-0ea7-4c40-a0d4-6e62e70fb83e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23" dT="2025-09-22T15:40:30.47" personId="{CF519208-A743-4A1A-8BE1-F76470A7CEF5}" id="{F86BF44B-86BC-4F7A-A0FD-C23463F41A2F}">
    <text>Linea PET, Línea Personal, Jarabe Simple, PTAP.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FF322-E97A-450F-8B92-A57BB3A6D3DB}">
  <sheetPr codeName="Hoja9">
    <tabColor rgb="FFFF0000"/>
  </sheetPr>
  <dimension ref="A1:B5"/>
  <sheetViews>
    <sheetView showGridLines="0" workbookViewId="0">
      <selection activeCell="A40" sqref="A40"/>
    </sheetView>
  </sheetViews>
  <sheetFormatPr baseColWidth="10" defaultColWidth="11.42578125" defaultRowHeight="15" x14ac:dyDescent="0.25"/>
  <cols>
    <col min="1" max="1" width="147.28515625" bestFit="1" customWidth="1"/>
    <col min="2" max="2" width="14.5703125" customWidth="1"/>
  </cols>
  <sheetData>
    <row r="1" spans="1:2" x14ac:dyDescent="0.25">
      <c r="A1" s="252" t="s">
        <v>845</v>
      </c>
      <c r="B1" s="251" t="s">
        <v>0</v>
      </c>
    </row>
    <row r="2" spans="1:2" x14ac:dyDescent="0.25">
      <c r="A2" s="257" t="s">
        <v>844</v>
      </c>
      <c r="B2" s="251" t="s">
        <v>1</v>
      </c>
    </row>
    <row r="3" spans="1:2" hidden="1" x14ac:dyDescent="0.25">
      <c r="A3" s="187"/>
      <c r="B3" s="251" t="s">
        <v>2</v>
      </c>
    </row>
    <row r="4" spans="1:2" x14ac:dyDescent="0.25">
      <c r="A4" s="255" t="s">
        <v>843</v>
      </c>
      <c r="B4" s="251" t="s">
        <v>3</v>
      </c>
    </row>
    <row r="5" spans="1:2" x14ac:dyDescent="0.25">
      <c r="A5" s="256" t="s">
        <v>4</v>
      </c>
      <c r="B5" s="25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71579-C27C-4B46-8057-D65CC4CA86E3}">
  <sheetPr codeName="Hoja1">
    <tabColor rgb="FF00B050"/>
  </sheetPr>
  <dimension ref="A1:AM67"/>
  <sheetViews>
    <sheetView showGridLines="0" tabSelected="1" topLeftCell="L1" zoomScale="72" zoomScaleNormal="140" workbookViewId="0">
      <pane ySplit="2" topLeftCell="A3" activePane="bottomLeft" state="frozen"/>
      <selection activeCell="B1" sqref="B1"/>
      <selection pane="bottomLeft" activeCell="AA6" sqref="AA6"/>
    </sheetView>
  </sheetViews>
  <sheetFormatPr baseColWidth="10" defaultColWidth="11.42578125" defaultRowHeight="15.75" outlineLevelCol="1" x14ac:dyDescent="0.25"/>
  <cols>
    <col min="1" max="1" width="11.42578125" style="3" hidden="1" customWidth="1"/>
    <col min="2" max="2" width="33" style="3" bestFit="1" customWidth="1"/>
    <col min="3" max="3" width="18.7109375" style="3" customWidth="1"/>
    <col min="4" max="15" width="6.7109375" style="3" customWidth="1"/>
    <col min="16" max="27" width="6.7109375" style="3" customWidth="1" outlineLevel="1"/>
    <col min="28" max="30" width="11.42578125" style="7" customWidth="1"/>
    <col min="31" max="31" width="16.5703125" style="7" customWidth="1"/>
    <col min="32" max="32" width="10.7109375" style="7" customWidth="1"/>
    <col min="33" max="33" width="11.42578125" style="7"/>
    <col min="34" max="34" width="18.7109375" style="3" customWidth="1"/>
    <col min="35" max="35" width="11.85546875" style="3" bestFit="1" customWidth="1"/>
    <col min="36" max="36" width="11.42578125" style="3"/>
    <col min="37" max="37" width="19.7109375" style="3" customWidth="1"/>
    <col min="38" max="38" width="11.85546875" style="3" bestFit="1" customWidth="1"/>
    <col min="39" max="16384" width="11.42578125" style="3"/>
  </cols>
  <sheetData>
    <row r="1" spans="1:39" s="1" customFormat="1" ht="42.75" customHeight="1" thickBot="1" x14ac:dyDescent="0.3">
      <c r="B1" s="269" t="s">
        <v>6</v>
      </c>
      <c r="C1" s="270"/>
      <c r="D1" s="131" t="s">
        <v>7</v>
      </c>
      <c r="E1" s="132" t="s">
        <v>7</v>
      </c>
      <c r="F1" s="53" t="s">
        <v>8</v>
      </c>
      <c r="G1" s="53" t="s">
        <v>8</v>
      </c>
      <c r="H1" s="79" t="s">
        <v>9</v>
      </c>
      <c r="I1" s="79" t="s">
        <v>9</v>
      </c>
      <c r="J1" s="86" t="s">
        <v>10</v>
      </c>
      <c r="K1" s="86" t="s">
        <v>10</v>
      </c>
      <c r="L1" s="133" t="s">
        <v>11</v>
      </c>
      <c r="M1" s="133" t="s">
        <v>11</v>
      </c>
      <c r="N1" s="134" t="s">
        <v>12</v>
      </c>
      <c r="O1" s="134" t="s">
        <v>12</v>
      </c>
      <c r="P1" s="135" t="s">
        <v>13</v>
      </c>
      <c r="Q1" s="135" t="s">
        <v>13</v>
      </c>
      <c r="R1" s="136" t="s">
        <v>14</v>
      </c>
      <c r="S1" s="136" t="s">
        <v>14</v>
      </c>
      <c r="T1" s="137" t="s">
        <v>15</v>
      </c>
      <c r="U1" s="137" t="s">
        <v>15</v>
      </c>
      <c r="V1" s="138" t="s">
        <v>16</v>
      </c>
      <c r="W1" s="138" t="s">
        <v>16</v>
      </c>
      <c r="X1" s="139" t="s">
        <v>17</v>
      </c>
      <c r="Y1" s="139" t="s">
        <v>17</v>
      </c>
      <c r="Z1" s="140" t="s">
        <v>18</v>
      </c>
      <c r="AA1" s="141" t="s">
        <v>18</v>
      </c>
      <c r="AB1" s="271" t="s">
        <v>19</v>
      </c>
      <c r="AC1" s="272"/>
      <c r="AD1" s="273"/>
      <c r="AE1" s="274" t="s">
        <v>20</v>
      </c>
      <c r="AF1" s="275"/>
      <c r="AG1" s="276"/>
      <c r="AH1" s="277" t="s">
        <v>21</v>
      </c>
      <c r="AI1" s="278"/>
      <c r="AJ1" s="279"/>
      <c r="AK1" s="280" t="s">
        <v>22</v>
      </c>
      <c r="AL1" s="281"/>
      <c r="AM1" s="282"/>
    </row>
    <row r="2" spans="1:39" ht="40.5" customHeight="1" thickBot="1" x14ac:dyDescent="0.3">
      <c r="A2" s="2" t="s">
        <v>23</v>
      </c>
      <c r="B2" s="156" t="s">
        <v>24</v>
      </c>
      <c r="C2" s="157" t="s">
        <v>25</v>
      </c>
      <c r="D2" s="142" t="s">
        <v>26</v>
      </c>
      <c r="E2" s="143" t="s">
        <v>27</v>
      </c>
      <c r="F2" s="144" t="s">
        <v>26</v>
      </c>
      <c r="G2" s="144" t="s">
        <v>27</v>
      </c>
      <c r="H2" s="145" t="s">
        <v>26</v>
      </c>
      <c r="I2" s="145" t="s">
        <v>27</v>
      </c>
      <c r="J2" s="146" t="s">
        <v>26</v>
      </c>
      <c r="K2" s="146" t="s">
        <v>27</v>
      </c>
      <c r="L2" s="147" t="s">
        <v>26</v>
      </c>
      <c r="M2" s="147" t="s">
        <v>27</v>
      </c>
      <c r="N2" s="148" t="s">
        <v>26</v>
      </c>
      <c r="O2" s="148" t="s">
        <v>27</v>
      </c>
      <c r="P2" s="149" t="s">
        <v>26</v>
      </c>
      <c r="Q2" s="149" t="s">
        <v>27</v>
      </c>
      <c r="R2" s="150" t="s">
        <v>26</v>
      </c>
      <c r="S2" s="150" t="s">
        <v>27</v>
      </c>
      <c r="T2" s="151" t="s">
        <v>26</v>
      </c>
      <c r="U2" s="151" t="s">
        <v>27</v>
      </c>
      <c r="V2" s="152" t="s">
        <v>26</v>
      </c>
      <c r="W2" s="152" t="s">
        <v>27</v>
      </c>
      <c r="X2" s="153" t="s">
        <v>26</v>
      </c>
      <c r="Y2" s="153" t="s">
        <v>27</v>
      </c>
      <c r="Z2" s="154" t="s">
        <v>26</v>
      </c>
      <c r="AA2" s="155" t="s">
        <v>27</v>
      </c>
      <c r="AB2" s="125" t="s">
        <v>28</v>
      </c>
      <c r="AC2" s="126" t="s">
        <v>29</v>
      </c>
      <c r="AD2" s="127" t="s">
        <v>30</v>
      </c>
      <c r="AE2" s="128" t="s">
        <v>31</v>
      </c>
      <c r="AF2" s="129" t="s">
        <v>32</v>
      </c>
      <c r="AG2" s="130" t="s">
        <v>33</v>
      </c>
      <c r="AH2" s="128" t="s">
        <v>34</v>
      </c>
      <c r="AI2" s="129" t="s">
        <v>35</v>
      </c>
      <c r="AJ2" s="130" t="s">
        <v>36</v>
      </c>
      <c r="AK2" s="54" t="s">
        <v>37</v>
      </c>
      <c r="AL2" s="4" t="s">
        <v>38</v>
      </c>
      <c r="AM2" s="55" t="s">
        <v>39</v>
      </c>
    </row>
    <row r="3" spans="1:39" s="7" customFormat="1" ht="102" x14ac:dyDescent="0.25">
      <c r="A3" s="5">
        <v>1</v>
      </c>
      <c r="B3" s="6" t="s">
        <v>40</v>
      </c>
      <c r="C3" s="112" t="s">
        <v>41</v>
      </c>
      <c r="D3" s="207"/>
      <c r="E3" s="207"/>
      <c r="F3" s="207"/>
      <c r="G3" s="207"/>
      <c r="H3" s="254">
        <v>9</v>
      </c>
      <c r="I3" s="254">
        <v>13</v>
      </c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>
        <v>21</v>
      </c>
      <c r="U3" s="253">
        <v>25</v>
      </c>
      <c r="V3" s="208"/>
      <c r="W3" s="208"/>
      <c r="X3" s="208"/>
      <c r="Y3" s="208"/>
      <c r="Z3" s="208"/>
      <c r="AA3" s="210"/>
      <c r="AB3" s="93">
        <v>2</v>
      </c>
      <c r="AC3" s="37">
        <v>2</v>
      </c>
      <c r="AD3" s="94">
        <v>0</v>
      </c>
      <c r="AE3" s="74" t="s">
        <v>42</v>
      </c>
      <c r="AF3" s="38"/>
      <c r="AG3" s="66"/>
      <c r="AH3" s="74" t="s">
        <v>43</v>
      </c>
      <c r="AI3" s="38"/>
      <c r="AJ3" s="66"/>
      <c r="AK3" s="56"/>
      <c r="AL3" s="9"/>
      <c r="AM3" s="57"/>
    </row>
    <row r="4" spans="1:39" s="7" customFormat="1" x14ac:dyDescent="0.25">
      <c r="A4" s="10">
        <f>+A3+0.1</f>
        <v>1.1000000000000001</v>
      </c>
      <c r="B4" s="11" t="s">
        <v>40</v>
      </c>
      <c r="C4" s="113" t="s">
        <v>44</v>
      </c>
      <c r="D4" s="211"/>
      <c r="E4" s="212"/>
      <c r="F4" s="212"/>
      <c r="G4" s="212"/>
      <c r="H4" s="213"/>
      <c r="I4" s="213"/>
      <c r="J4" s="212"/>
      <c r="K4" s="212"/>
      <c r="L4" s="212"/>
      <c r="M4" s="212"/>
      <c r="N4" s="212"/>
      <c r="O4" s="212"/>
      <c r="P4" s="212">
        <v>6</v>
      </c>
      <c r="Q4" s="212">
        <v>13</v>
      </c>
      <c r="R4" s="212"/>
      <c r="S4" s="212"/>
      <c r="T4" s="212"/>
      <c r="U4" s="212"/>
      <c r="V4" s="212"/>
      <c r="W4" s="212"/>
      <c r="X4" s="212"/>
      <c r="Y4" s="212"/>
      <c r="Z4" s="212"/>
      <c r="AA4" s="214"/>
      <c r="AB4" s="11">
        <v>1</v>
      </c>
      <c r="AC4" s="8">
        <v>0</v>
      </c>
      <c r="AD4" s="88">
        <v>0</v>
      </c>
      <c r="AE4" s="56">
        <v>123456</v>
      </c>
      <c r="AF4" s="12"/>
      <c r="AG4" s="57"/>
      <c r="AH4" s="56"/>
      <c r="AI4" s="12"/>
      <c r="AJ4" s="57"/>
      <c r="AK4" s="56"/>
      <c r="AL4" s="12"/>
      <c r="AM4" s="57"/>
    </row>
    <row r="5" spans="1:39" s="7" customFormat="1" x14ac:dyDescent="0.25">
      <c r="A5" s="10">
        <f t="shared" ref="A5:A32" si="0">+A4+0.1</f>
        <v>1.2000000000000002</v>
      </c>
      <c r="B5" s="11" t="s">
        <v>40</v>
      </c>
      <c r="C5" s="113" t="s">
        <v>45</v>
      </c>
      <c r="D5" s="211"/>
      <c r="E5" s="212"/>
      <c r="F5" s="212"/>
      <c r="G5" s="212"/>
      <c r="H5" s="213"/>
      <c r="I5" s="213"/>
      <c r="J5" s="212"/>
      <c r="K5" s="212"/>
      <c r="L5" s="212"/>
      <c r="M5" s="212"/>
      <c r="N5" s="212">
        <v>22</v>
      </c>
      <c r="O5" s="212">
        <v>26</v>
      </c>
      <c r="P5" s="212"/>
      <c r="Q5" s="212"/>
      <c r="R5" s="212"/>
      <c r="S5" s="212"/>
      <c r="T5" s="212">
        <v>7</v>
      </c>
      <c r="U5" s="212">
        <v>11</v>
      </c>
      <c r="V5" s="212"/>
      <c r="W5" s="212"/>
      <c r="X5" s="212"/>
      <c r="Y5" s="212"/>
      <c r="Z5" s="212"/>
      <c r="AA5" s="214"/>
      <c r="AB5" s="11">
        <v>2</v>
      </c>
      <c r="AC5" s="8">
        <v>2</v>
      </c>
      <c r="AD5" s="88">
        <v>0</v>
      </c>
      <c r="AE5" s="58"/>
      <c r="AF5" s="12"/>
      <c r="AG5" s="57"/>
      <c r="AH5" s="80"/>
      <c r="AI5" s="81"/>
      <c r="AJ5" s="57"/>
      <c r="AK5" s="58"/>
      <c r="AL5" s="12"/>
      <c r="AM5" s="57"/>
    </row>
    <row r="6" spans="1:39" s="7" customFormat="1" ht="51" x14ac:dyDescent="0.2">
      <c r="A6" s="13">
        <f t="shared" si="0"/>
        <v>1.3000000000000003</v>
      </c>
      <c r="B6" s="11" t="s">
        <v>40</v>
      </c>
      <c r="C6" s="114" t="s">
        <v>46</v>
      </c>
      <c r="D6" s="211"/>
      <c r="E6" s="212"/>
      <c r="F6" s="212"/>
      <c r="G6" s="212"/>
      <c r="H6" s="213"/>
      <c r="I6" s="213"/>
      <c r="J6" s="8">
        <v>20</v>
      </c>
      <c r="K6" s="212">
        <v>24</v>
      </c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>
        <v>5</v>
      </c>
      <c r="W6" s="212">
        <v>9</v>
      </c>
      <c r="X6" s="212"/>
      <c r="Y6" s="212"/>
      <c r="Z6" s="212"/>
      <c r="AA6" s="214"/>
      <c r="AB6" s="11">
        <v>2</v>
      </c>
      <c r="AC6" s="8">
        <v>2</v>
      </c>
      <c r="AD6" s="88">
        <v>0</v>
      </c>
      <c r="AE6" s="56" t="s">
        <v>47</v>
      </c>
      <c r="AF6" s="34"/>
      <c r="AG6" s="57"/>
      <c r="AH6" s="56"/>
      <c r="AI6" s="34"/>
      <c r="AJ6" s="57"/>
      <c r="AK6" s="56"/>
      <c r="AL6" s="12"/>
      <c r="AM6" s="57"/>
    </row>
    <row r="7" spans="1:39" s="7" customFormat="1" ht="72" x14ac:dyDescent="0.2">
      <c r="A7" s="10">
        <f t="shared" si="0"/>
        <v>1.4000000000000004</v>
      </c>
      <c r="B7" s="11" t="s">
        <v>40</v>
      </c>
      <c r="C7" s="113" t="s">
        <v>48</v>
      </c>
      <c r="D7" s="211"/>
      <c r="E7" s="212"/>
      <c r="F7" s="212">
        <v>16</v>
      </c>
      <c r="G7" s="212">
        <v>20</v>
      </c>
      <c r="H7" s="213"/>
      <c r="I7" s="213"/>
      <c r="J7" s="212"/>
      <c r="K7" s="212"/>
      <c r="L7" s="212"/>
      <c r="M7" s="212"/>
      <c r="N7" s="212"/>
      <c r="O7" s="212"/>
      <c r="P7" s="212"/>
      <c r="Q7" s="212"/>
      <c r="R7" s="212">
        <v>10</v>
      </c>
      <c r="S7" s="212">
        <v>14</v>
      </c>
      <c r="T7" s="212"/>
      <c r="U7" s="212"/>
      <c r="V7" s="212"/>
      <c r="W7" s="212"/>
      <c r="X7" s="212"/>
      <c r="Y7" s="212"/>
      <c r="Z7" s="212"/>
      <c r="AA7" s="214"/>
      <c r="AB7" s="11">
        <v>1</v>
      </c>
      <c r="AC7" s="8">
        <v>1</v>
      </c>
      <c r="AD7" s="88">
        <v>0</v>
      </c>
      <c r="AE7" s="192" t="s">
        <v>49</v>
      </c>
      <c r="AF7" s="201"/>
      <c r="AG7" s="57"/>
      <c r="AH7" s="58" t="s">
        <v>50</v>
      </c>
      <c r="AI7" s="12"/>
      <c r="AJ7" s="57"/>
      <c r="AK7" s="58"/>
      <c r="AL7" s="12"/>
      <c r="AM7" s="57"/>
    </row>
    <row r="8" spans="1:39" s="7" customFormat="1" x14ac:dyDescent="0.25">
      <c r="A8" s="10">
        <f t="shared" si="0"/>
        <v>1.5000000000000004</v>
      </c>
      <c r="B8" s="11" t="s">
        <v>40</v>
      </c>
      <c r="C8" s="113" t="s">
        <v>51</v>
      </c>
      <c r="D8" s="211"/>
      <c r="E8" s="212"/>
      <c r="F8" s="212"/>
      <c r="G8" s="212"/>
      <c r="H8" s="213">
        <v>2</v>
      </c>
      <c r="I8" s="213">
        <v>10</v>
      </c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4"/>
      <c r="AB8" s="11">
        <v>2</v>
      </c>
      <c r="AC8" s="8">
        <v>2</v>
      </c>
      <c r="AD8" s="88">
        <v>0</v>
      </c>
      <c r="AE8" s="56"/>
      <c r="AF8" s="9"/>
      <c r="AG8" s="57"/>
      <c r="AH8" s="56"/>
      <c r="AI8" s="9"/>
      <c r="AJ8" s="57"/>
      <c r="AK8" s="56"/>
      <c r="AL8" s="9"/>
      <c r="AM8" s="57"/>
    </row>
    <row r="9" spans="1:39" s="7" customFormat="1" x14ac:dyDescent="0.25">
      <c r="A9" s="10">
        <f t="shared" si="0"/>
        <v>1.6000000000000005</v>
      </c>
      <c r="B9" s="11" t="s">
        <v>40</v>
      </c>
      <c r="C9" s="113" t="s">
        <v>52</v>
      </c>
      <c r="D9" s="211"/>
      <c r="E9" s="212"/>
      <c r="F9" s="212"/>
      <c r="G9" s="212"/>
      <c r="H9" s="213"/>
      <c r="I9" s="213"/>
      <c r="J9" s="212"/>
      <c r="K9" s="212"/>
      <c r="L9" s="212">
        <v>25</v>
      </c>
      <c r="M9" s="212">
        <v>29</v>
      </c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>
        <v>24</v>
      </c>
      <c r="Y9" s="212">
        <v>28</v>
      </c>
      <c r="Z9" s="212"/>
      <c r="AA9" s="214"/>
      <c r="AB9" s="11">
        <v>2</v>
      </c>
      <c r="AC9" s="8">
        <v>2</v>
      </c>
      <c r="AD9" s="88">
        <v>0</v>
      </c>
      <c r="AE9" s="56"/>
      <c r="AF9" s="9"/>
      <c r="AG9" s="57"/>
      <c r="AH9" s="56"/>
      <c r="AI9" s="9"/>
      <c r="AJ9" s="57"/>
      <c r="AK9" s="56"/>
      <c r="AL9" s="9"/>
      <c r="AM9" s="57"/>
    </row>
    <row r="10" spans="1:39" s="7" customFormat="1" x14ac:dyDescent="0.25">
      <c r="A10" s="10">
        <f t="shared" si="0"/>
        <v>1.7000000000000006</v>
      </c>
      <c r="B10" s="11" t="s">
        <v>40</v>
      </c>
      <c r="C10" s="113" t="s">
        <v>53</v>
      </c>
      <c r="D10" s="211">
        <v>19</v>
      </c>
      <c r="E10" s="212">
        <v>23</v>
      </c>
      <c r="F10" s="212"/>
      <c r="G10" s="212"/>
      <c r="H10" s="213"/>
      <c r="I10" s="213"/>
      <c r="J10" s="212"/>
      <c r="K10" s="212"/>
      <c r="L10" s="212"/>
      <c r="M10" s="212"/>
      <c r="N10" s="212">
        <v>22</v>
      </c>
      <c r="O10" s="212">
        <v>27</v>
      </c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4"/>
      <c r="AB10" s="11">
        <v>2</v>
      </c>
      <c r="AC10" s="8">
        <v>2</v>
      </c>
      <c r="AD10" s="88">
        <v>0</v>
      </c>
      <c r="AE10" s="56"/>
      <c r="AG10" s="57"/>
      <c r="AH10" s="56"/>
      <c r="AI10" s="9"/>
      <c r="AJ10" s="57"/>
      <c r="AK10" s="56"/>
      <c r="AL10" s="9"/>
      <c r="AM10" s="57"/>
    </row>
    <row r="11" spans="1:39" s="7" customFormat="1" ht="25.5" x14ac:dyDescent="0.25">
      <c r="A11" s="14">
        <f t="shared" si="0"/>
        <v>1.8000000000000007</v>
      </c>
      <c r="B11" s="11" t="s">
        <v>40</v>
      </c>
      <c r="C11" s="115" t="s">
        <v>54</v>
      </c>
      <c r="D11" s="211"/>
      <c r="E11" s="212"/>
      <c r="F11" s="212"/>
      <c r="G11" s="212"/>
      <c r="H11" s="213"/>
      <c r="I11" s="213"/>
      <c r="J11" s="212">
        <v>13</v>
      </c>
      <c r="K11" s="212">
        <v>17</v>
      </c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>
        <v>19</v>
      </c>
      <c r="W11" s="212">
        <v>23</v>
      </c>
      <c r="X11" s="212"/>
      <c r="Y11" s="212"/>
      <c r="Z11" s="212"/>
      <c r="AA11" s="214"/>
      <c r="AB11" s="11">
        <v>2</v>
      </c>
      <c r="AC11" s="8">
        <v>2</v>
      </c>
      <c r="AD11" s="88">
        <v>0</v>
      </c>
      <c r="AE11" s="82" t="s">
        <v>55</v>
      </c>
      <c r="AF11" s="188"/>
      <c r="AG11" s="57"/>
      <c r="AH11" s="82" t="s">
        <v>56</v>
      </c>
      <c r="AI11" s="9"/>
      <c r="AJ11" s="57"/>
      <c r="AK11" s="56"/>
      <c r="AL11" s="12"/>
      <c r="AM11" s="57"/>
    </row>
    <row r="12" spans="1:39" s="7" customFormat="1" ht="16.5" thickBot="1" x14ac:dyDescent="0.3">
      <c r="A12" s="15">
        <f t="shared" si="0"/>
        <v>1.9000000000000008</v>
      </c>
      <c r="B12" s="11" t="s">
        <v>40</v>
      </c>
      <c r="C12" s="116" t="s">
        <v>57</v>
      </c>
      <c r="D12" s="215"/>
      <c r="E12" s="216"/>
      <c r="F12" s="216"/>
      <c r="G12" s="216"/>
      <c r="H12" s="217"/>
      <c r="I12" s="217"/>
      <c r="J12" s="216"/>
      <c r="K12" s="216"/>
      <c r="L12" s="216">
        <v>11</v>
      </c>
      <c r="M12" s="216">
        <v>15</v>
      </c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>
        <v>9</v>
      </c>
      <c r="Y12" s="216">
        <v>13</v>
      </c>
      <c r="Z12" s="216"/>
      <c r="AA12" s="218"/>
      <c r="AB12" s="89">
        <v>2</v>
      </c>
      <c r="AC12" s="35">
        <v>2</v>
      </c>
      <c r="AD12" s="90">
        <v>0</v>
      </c>
      <c r="AE12" s="59"/>
      <c r="AF12" s="47"/>
      <c r="AG12" s="60"/>
      <c r="AH12" s="59"/>
      <c r="AI12" s="47"/>
      <c r="AJ12" s="60"/>
      <c r="AK12" s="59"/>
      <c r="AL12" s="47"/>
      <c r="AM12" s="60"/>
    </row>
    <row r="13" spans="1:39" s="7" customFormat="1" ht="38.25" x14ac:dyDescent="0.25">
      <c r="A13" s="16">
        <v>2</v>
      </c>
      <c r="B13" s="6" t="s">
        <v>58</v>
      </c>
      <c r="C13" s="117" t="s">
        <v>59</v>
      </c>
      <c r="D13" s="219"/>
      <c r="E13" s="220"/>
      <c r="F13" s="220"/>
      <c r="G13" s="220"/>
      <c r="H13" s="221"/>
      <c r="I13" s="221"/>
      <c r="J13" s="220">
        <v>13</v>
      </c>
      <c r="K13" s="220">
        <v>17</v>
      </c>
      <c r="L13" s="220"/>
      <c r="M13" s="220"/>
      <c r="N13" s="220"/>
      <c r="O13" s="220"/>
      <c r="P13" s="220"/>
      <c r="Q13" s="220"/>
      <c r="R13" s="220">
        <v>24</v>
      </c>
      <c r="S13" s="220">
        <v>28</v>
      </c>
      <c r="T13" s="220"/>
      <c r="U13" s="220"/>
      <c r="V13" s="220"/>
      <c r="W13" s="220"/>
      <c r="X13" s="220"/>
      <c r="Y13" s="220"/>
      <c r="Z13" s="220"/>
      <c r="AA13" s="222"/>
      <c r="AB13" s="6">
        <v>1</v>
      </c>
      <c r="AC13" s="39">
        <v>1</v>
      </c>
      <c r="AD13" s="91">
        <v>0</v>
      </c>
      <c r="AE13" s="193" t="s">
        <v>60</v>
      </c>
      <c r="AF13" s="41"/>
      <c r="AG13" s="62"/>
      <c r="AH13" s="61" t="s">
        <v>61</v>
      </c>
      <c r="AI13" s="41"/>
      <c r="AJ13" s="62"/>
      <c r="AK13" s="61"/>
      <c r="AL13" s="41"/>
      <c r="AM13" s="62"/>
    </row>
    <row r="14" spans="1:39" s="7" customFormat="1" ht="102" x14ac:dyDescent="0.25">
      <c r="A14" s="14">
        <f t="shared" si="0"/>
        <v>2.1</v>
      </c>
      <c r="B14" s="11" t="s">
        <v>58</v>
      </c>
      <c r="C14" s="115" t="s">
        <v>62</v>
      </c>
      <c r="D14" s="211"/>
      <c r="E14" s="212"/>
      <c r="F14" s="212">
        <v>8</v>
      </c>
      <c r="G14" s="212">
        <v>12</v>
      </c>
      <c r="H14" s="213"/>
      <c r="I14" s="213"/>
      <c r="J14" s="212"/>
      <c r="K14" s="212"/>
      <c r="L14" s="212"/>
      <c r="M14" s="212"/>
      <c r="N14" s="212">
        <v>15</v>
      </c>
      <c r="O14" s="212">
        <v>19</v>
      </c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4"/>
      <c r="AB14" s="11">
        <v>1</v>
      </c>
      <c r="AC14" s="8">
        <v>1</v>
      </c>
      <c r="AD14" s="88">
        <v>0</v>
      </c>
      <c r="AE14" s="56" t="s">
        <v>63</v>
      </c>
      <c r="AF14" s="12"/>
      <c r="AG14" s="57"/>
      <c r="AH14" s="56" t="s">
        <v>64</v>
      </c>
      <c r="AI14" s="12"/>
      <c r="AJ14" s="57"/>
      <c r="AK14" s="56"/>
      <c r="AL14" s="12"/>
      <c r="AM14" s="57"/>
    </row>
    <row r="15" spans="1:39" s="7" customFormat="1" x14ac:dyDescent="0.25">
      <c r="A15" s="14">
        <f t="shared" si="0"/>
        <v>2.2000000000000002</v>
      </c>
      <c r="B15" s="11" t="s">
        <v>58</v>
      </c>
      <c r="C15" s="115" t="s">
        <v>65</v>
      </c>
      <c r="D15" s="211"/>
      <c r="E15" s="212"/>
      <c r="F15" s="212"/>
      <c r="G15" s="212"/>
      <c r="H15" s="213"/>
      <c r="I15" s="213"/>
      <c r="J15" s="212">
        <v>27</v>
      </c>
      <c r="K15" s="212">
        <v>30</v>
      </c>
      <c r="L15" s="212">
        <v>1</v>
      </c>
      <c r="M15" s="212">
        <v>1</v>
      </c>
      <c r="N15" s="212"/>
      <c r="O15" s="212"/>
      <c r="P15" s="212"/>
      <c r="Q15" s="212"/>
      <c r="R15" s="212">
        <v>9</v>
      </c>
      <c r="S15" s="212">
        <v>13</v>
      </c>
      <c r="T15" s="212"/>
      <c r="U15" s="212"/>
      <c r="V15" s="212"/>
      <c r="W15" s="212"/>
      <c r="X15" s="212"/>
      <c r="Y15" s="212"/>
      <c r="Z15" s="212"/>
      <c r="AA15" s="214"/>
      <c r="AB15" s="11">
        <v>1</v>
      </c>
      <c r="AC15" s="8">
        <v>1</v>
      </c>
      <c r="AD15" s="88">
        <v>0</v>
      </c>
      <c r="AE15" s="82"/>
      <c r="AF15" s="12"/>
      <c r="AG15" s="57"/>
      <c r="AH15" s="56"/>
      <c r="AI15" s="12"/>
      <c r="AJ15" s="57"/>
      <c r="AK15" s="56"/>
      <c r="AL15" s="12"/>
      <c r="AM15" s="57"/>
    </row>
    <row r="16" spans="1:39" s="7" customFormat="1" ht="102" x14ac:dyDescent="0.25">
      <c r="A16" s="14">
        <f t="shared" si="0"/>
        <v>2.3000000000000003</v>
      </c>
      <c r="B16" s="11" t="s">
        <v>58</v>
      </c>
      <c r="C16" s="115" t="s">
        <v>66</v>
      </c>
      <c r="D16" s="211"/>
      <c r="E16" s="212"/>
      <c r="F16" s="212">
        <v>22</v>
      </c>
      <c r="G16" s="212">
        <v>26</v>
      </c>
      <c r="H16" s="213"/>
      <c r="I16" s="213"/>
      <c r="J16" s="212"/>
      <c r="K16" s="212"/>
      <c r="L16" s="212"/>
      <c r="M16" s="212"/>
      <c r="N16" s="212">
        <v>29</v>
      </c>
      <c r="O16" s="212">
        <v>30</v>
      </c>
      <c r="P16" s="212">
        <v>1</v>
      </c>
      <c r="Q16" s="212">
        <v>3</v>
      </c>
      <c r="R16" s="212"/>
      <c r="S16" s="212"/>
      <c r="T16" s="212"/>
      <c r="U16" s="212"/>
      <c r="V16" s="212"/>
      <c r="W16" s="212"/>
      <c r="X16" s="212"/>
      <c r="Y16" s="212"/>
      <c r="Z16" s="212"/>
      <c r="AA16" s="214"/>
      <c r="AB16" s="11">
        <v>1</v>
      </c>
      <c r="AC16" s="8">
        <v>1</v>
      </c>
      <c r="AD16" s="88">
        <v>0</v>
      </c>
      <c r="AE16" s="56" t="s">
        <v>67</v>
      </c>
      <c r="AF16" s="12"/>
      <c r="AG16" s="57"/>
      <c r="AH16" s="56" t="s">
        <v>68</v>
      </c>
      <c r="AI16" s="12"/>
      <c r="AJ16" s="57"/>
      <c r="AK16" s="56"/>
      <c r="AL16" s="12"/>
      <c r="AM16" s="57"/>
    </row>
    <row r="17" spans="1:39" s="7" customFormat="1" x14ac:dyDescent="0.25">
      <c r="A17" s="98"/>
      <c r="B17" s="11" t="s">
        <v>58</v>
      </c>
      <c r="C17" s="115" t="s">
        <v>69</v>
      </c>
      <c r="D17" s="215"/>
      <c r="E17" s="216"/>
      <c r="F17" s="216"/>
      <c r="G17" s="216"/>
      <c r="H17" s="217">
        <v>9</v>
      </c>
      <c r="I17" s="217">
        <v>13</v>
      </c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>
        <v>28</v>
      </c>
      <c r="U17" s="216">
        <v>30</v>
      </c>
      <c r="V17" s="216">
        <v>1</v>
      </c>
      <c r="W17" s="216">
        <v>2</v>
      </c>
      <c r="X17" s="216"/>
      <c r="Y17" s="216"/>
      <c r="Z17" s="216"/>
      <c r="AA17" s="218"/>
      <c r="AB17" s="11">
        <v>1</v>
      </c>
      <c r="AC17" s="8">
        <v>1</v>
      </c>
      <c r="AD17" s="88">
        <v>0</v>
      </c>
      <c r="AE17" s="59"/>
      <c r="AF17" s="47"/>
      <c r="AG17" s="60"/>
      <c r="AH17" s="59"/>
      <c r="AI17" s="47"/>
      <c r="AJ17" s="60"/>
      <c r="AK17" s="59"/>
      <c r="AL17" s="47"/>
      <c r="AM17" s="60"/>
    </row>
    <row r="18" spans="1:39" s="7" customFormat="1" ht="16.5" thickBot="1" x14ac:dyDescent="0.3">
      <c r="A18" s="17">
        <f>+A16+0.1</f>
        <v>2.4000000000000004</v>
      </c>
      <c r="B18" s="99" t="s">
        <v>58</v>
      </c>
      <c r="C18" s="118" t="s">
        <v>70</v>
      </c>
      <c r="D18" s="223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>
        <v>27</v>
      </c>
      <c r="Q18" s="224">
        <v>31</v>
      </c>
      <c r="R18" s="224"/>
      <c r="S18" s="224"/>
      <c r="T18" s="224"/>
      <c r="U18" s="224"/>
      <c r="V18" s="224"/>
      <c r="W18" s="224"/>
      <c r="X18" s="224"/>
      <c r="Y18" s="224"/>
      <c r="Z18" s="224"/>
      <c r="AA18" s="225"/>
      <c r="AB18" s="99">
        <v>1</v>
      </c>
      <c r="AC18" s="100">
        <v>1</v>
      </c>
      <c r="AD18" s="101">
        <v>0</v>
      </c>
      <c r="AE18" s="102"/>
      <c r="AF18" s="103"/>
      <c r="AG18" s="104"/>
      <c r="AH18" s="102"/>
      <c r="AI18" s="103"/>
      <c r="AJ18" s="104"/>
      <c r="AK18" s="102"/>
      <c r="AL18" s="103"/>
      <c r="AM18" s="104"/>
    </row>
    <row r="19" spans="1:39" s="7" customFormat="1" ht="255" x14ac:dyDescent="0.25">
      <c r="A19" s="16">
        <v>3</v>
      </c>
      <c r="B19" s="6" t="s">
        <v>71</v>
      </c>
      <c r="C19" s="117" t="s">
        <v>72</v>
      </c>
      <c r="D19" s="226"/>
      <c r="E19" s="226"/>
      <c r="F19" s="227"/>
      <c r="G19" s="227"/>
      <c r="H19" s="228">
        <v>16</v>
      </c>
      <c r="I19" s="228">
        <v>20</v>
      </c>
      <c r="J19" s="226"/>
      <c r="K19" s="226"/>
      <c r="L19" s="226"/>
      <c r="M19" s="226"/>
      <c r="N19" s="226"/>
      <c r="O19" s="226"/>
      <c r="P19" s="226">
        <v>6</v>
      </c>
      <c r="Q19" s="226">
        <v>10</v>
      </c>
      <c r="R19" s="227"/>
      <c r="S19" s="227"/>
      <c r="T19" s="227"/>
      <c r="U19" s="227"/>
      <c r="V19" s="227"/>
      <c r="W19" s="226"/>
      <c r="X19" s="226"/>
      <c r="Y19" s="226"/>
      <c r="Z19" s="226"/>
      <c r="AA19" s="226"/>
      <c r="AB19" s="93">
        <v>1</v>
      </c>
      <c r="AC19" s="37">
        <v>1</v>
      </c>
      <c r="AD19" s="94">
        <v>0</v>
      </c>
      <c r="AE19" s="83" t="s">
        <v>73</v>
      </c>
      <c r="AF19" s="191" t="s">
        <v>74</v>
      </c>
      <c r="AG19" s="87"/>
      <c r="AH19" s="83" t="s">
        <v>75</v>
      </c>
      <c r="AI19" s="51"/>
      <c r="AJ19" s="66"/>
      <c r="AK19" s="65"/>
      <c r="AL19" s="52"/>
      <c r="AM19" s="66"/>
    </row>
    <row r="20" spans="1:39" s="7" customFormat="1" ht="220.5" x14ac:dyDescent="0.25">
      <c r="A20" s="14">
        <f t="shared" si="0"/>
        <v>3.1</v>
      </c>
      <c r="B20" s="11" t="s">
        <v>71</v>
      </c>
      <c r="C20" s="115" t="s">
        <v>76</v>
      </c>
      <c r="D20" s="228"/>
      <c r="E20" s="228"/>
      <c r="F20" s="228">
        <v>23</v>
      </c>
      <c r="G20" s="228">
        <v>27</v>
      </c>
      <c r="H20" s="228"/>
      <c r="I20" s="228"/>
      <c r="J20" s="228"/>
      <c r="K20" s="228"/>
      <c r="L20" s="229"/>
      <c r="M20" s="228"/>
      <c r="N20" s="228"/>
      <c r="O20" s="228"/>
      <c r="P20" s="228"/>
      <c r="Q20" s="228"/>
      <c r="R20" s="228">
        <v>10</v>
      </c>
      <c r="S20" s="228">
        <v>14</v>
      </c>
      <c r="T20" s="229"/>
      <c r="U20" s="228"/>
      <c r="V20" s="229"/>
      <c r="W20" s="228"/>
      <c r="X20" s="228"/>
      <c r="Y20" s="228"/>
      <c r="Z20" s="228"/>
      <c r="AA20" s="228"/>
      <c r="AB20" s="93">
        <v>1</v>
      </c>
      <c r="AC20" s="8">
        <v>1</v>
      </c>
      <c r="AD20" s="88">
        <v>0</v>
      </c>
      <c r="AE20" s="203" t="s">
        <v>77</v>
      </c>
      <c r="AF20" s="204" t="s">
        <v>78</v>
      </c>
      <c r="AG20" s="57"/>
      <c r="AH20" s="82" t="s">
        <v>79</v>
      </c>
      <c r="AI20" s="25"/>
      <c r="AJ20" s="57"/>
      <c r="AK20" s="67"/>
      <c r="AL20" s="12"/>
      <c r="AM20" s="57"/>
    </row>
    <row r="21" spans="1:39" s="7" customFormat="1" ht="168.75" thickBot="1" x14ac:dyDescent="0.3">
      <c r="A21" s="17">
        <f t="shared" si="0"/>
        <v>3.2</v>
      </c>
      <c r="B21" s="18" t="s">
        <v>71</v>
      </c>
      <c r="C21" s="119" t="s">
        <v>80</v>
      </c>
      <c r="D21" s="230"/>
      <c r="E21" s="230"/>
      <c r="F21" s="230"/>
      <c r="G21" s="230"/>
      <c r="H21" s="231"/>
      <c r="I21" s="231"/>
      <c r="J21" s="232">
        <v>20</v>
      </c>
      <c r="K21" s="232">
        <v>24</v>
      </c>
      <c r="L21" s="230"/>
      <c r="M21" s="230"/>
      <c r="N21" s="230"/>
      <c r="O21" s="230"/>
      <c r="P21" s="231"/>
      <c r="Q21" s="231"/>
      <c r="R21" s="230"/>
      <c r="S21" s="230"/>
      <c r="T21" s="230">
        <v>14</v>
      </c>
      <c r="U21" s="230">
        <v>18</v>
      </c>
      <c r="V21" s="230"/>
      <c r="W21" s="230"/>
      <c r="X21" s="230"/>
      <c r="Y21" s="230"/>
      <c r="Z21" s="230"/>
      <c r="AA21" s="230"/>
      <c r="AB21" s="89">
        <v>1</v>
      </c>
      <c r="AC21" s="35">
        <v>1</v>
      </c>
      <c r="AD21" s="90">
        <v>0</v>
      </c>
      <c r="AE21" s="84" t="s">
        <v>81</v>
      </c>
      <c r="AF21" s="190" t="s">
        <v>82</v>
      </c>
      <c r="AG21" s="60"/>
      <c r="AH21" s="84" t="s">
        <v>83</v>
      </c>
      <c r="AI21" s="47"/>
      <c r="AJ21" s="60"/>
      <c r="AK21" s="68"/>
      <c r="AL21" s="47"/>
      <c r="AM21" s="60"/>
    </row>
    <row r="22" spans="1:39" s="7" customFormat="1" ht="102.75" thickBot="1" x14ac:dyDescent="0.3">
      <c r="A22" s="19">
        <v>4</v>
      </c>
      <c r="B22" s="20" t="s">
        <v>84</v>
      </c>
      <c r="C22" s="120" t="s">
        <v>85</v>
      </c>
      <c r="D22" s="233"/>
      <c r="E22" s="234"/>
      <c r="F22" s="234"/>
      <c r="G22" s="234"/>
      <c r="H22" s="235"/>
      <c r="I22" s="235"/>
      <c r="J22" s="236">
        <v>13</v>
      </c>
      <c r="K22" s="236">
        <v>17</v>
      </c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7"/>
      <c r="AB22" s="20">
        <v>1</v>
      </c>
      <c r="AC22" s="44">
        <v>0</v>
      </c>
      <c r="AD22" s="95">
        <v>0</v>
      </c>
      <c r="AE22" s="205" t="s">
        <v>86</v>
      </c>
      <c r="AF22" s="45" t="s">
        <v>87</v>
      </c>
      <c r="AG22" s="70"/>
      <c r="AH22" s="69" t="s">
        <v>88</v>
      </c>
      <c r="AI22" s="45"/>
      <c r="AJ22" s="70"/>
      <c r="AK22" s="69"/>
      <c r="AL22" s="45"/>
      <c r="AM22" s="70"/>
    </row>
    <row r="23" spans="1:39" s="7" customFormat="1" ht="192" thickBot="1" x14ac:dyDescent="0.3">
      <c r="A23" s="19">
        <v>5</v>
      </c>
      <c r="B23" s="20" t="s">
        <v>89</v>
      </c>
      <c r="C23" s="120" t="s">
        <v>90</v>
      </c>
      <c r="D23" s="238"/>
      <c r="E23" s="239"/>
      <c r="F23" s="239"/>
      <c r="G23" s="239"/>
      <c r="H23" s="240">
        <v>9</v>
      </c>
      <c r="I23" s="240">
        <v>13</v>
      </c>
      <c r="J23" s="239"/>
      <c r="K23" s="239"/>
      <c r="L23" s="239"/>
      <c r="M23" s="239"/>
      <c r="N23" s="239"/>
      <c r="O23" s="239"/>
      <c r="P23" s="239"/>
      <c r="Q23" s="239"/>
      <c r="R23" s="239"/>
      <c r="S23" s="239"/>
      <c r="T23" s="239">
        <v>14</v>
      </c>
      <c r="U23" s="239">
        <v>18</v>
      </c>
      <c r="V23" s="239"/>
      <c r="W23" s="239"/>
      <c r="X23" s="239"/>
      <c r="Y23" s="239"/>
      <c r="Z23" s="239"/>
      <c r="AA23" s="241"/>
      <c r="AB23" s="96">
        <v>1</v>
      </c>
      <c r="AC23" s="48">
        <v>1</v>
      </c>
      <c r="AD23" s="97">
        <v>0</v>
      </c>
      <c r="AE23" s="194" t="s">
        <v>91</v>
      </c>
      <c r="AF23" s="49" t="s">
        <v>92</v>
      </c>
      <c r="AG23" s="72"/>
      <c r="AH23" s="85" t="s">
        <v>93</v>
      </c>
      <c r="AI23" s="49"/>
      <c r="AJ23" s="72"/>
      <c r="AK23" s="71"/>
      <c r="AL23" s="50"/>
      <c r="AM23" s="72"/>
    </row>
    <row r="24" spans="1:39" s="7" customFormat="1" ht="16.5" thickBot="1" x14ac:dyDescent="0.3">
      <c r="A24" s="19">
        <v>6</v>
      </c>
      <c r="B24" s="20" t="s">
        <v>94</v>
      </c>
      <c r="C24" s="120" t="s">
        <v>95</v>
      </c>
      <c r="D24" s="233"/>
      <c r="E24" s="234"/>
      <c r="F24" s="234"/>
      <c r="G24" s="234"/>
      <c r="H24" s="242">
        <v>16</v>
      </c>
      <c r="I24" s="242">
        <v>24</v>
      </c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>
        <v>14</v>
      </c>
      <c r="U24" s="234">
        <v>22</v>
      </c>
      <c r="V24" s="234"/>
      <c r="W24" s="234"/>
      <c r="X24" s="234"/>
      <c r="Y24" s="234"/>
      <c r="Z24" s="234"/>
      <c r="AA24" s="237"/>
      <c r="AB24" s="20">
        <v>1</v>
      </c>
      <c r="AC24" s="44">
        <v>1</v>
      </c>
      <c r="AD24" s="95">
        <v>0</v>
      </c>
      <c r="AE24" s="195"/>
      <c r="AF24" s="46"/>
      <c r="AG24" s="70"/>
      <c r="AH24" s="73"/>
      <c r="AI24" s="46"/>
      <c r="AJ24" s="70"/>
      <c r="AK24" s="73"/>
      <c r="AL24" s="46"/>
      <c r="AM24" s="70"/>
    </row>
    <row r="25" spans="1:39" s="7" customFormat="1" x14ac:dyDescent="0.25">
      <c r="A25" s="5">
        <v>7</v>
      </c>
      <c r="B25" s="6" t="s">
        <v>96</v>
      </c>
      <c r="C25" s="112" t="s">
        <v>97</v>
      </c>
      <c r="D25" s="207"/>
      <c r="E25" s="208"/>
      <c r="F25" s="208"/>
      <c r="G25" s="208"/>
      <c r="H25" s="209"/>
      <c r="I25" s="209"/>
      <c r="J25" s="208"/>
      <c r="K25" s="208"/>
      <c r="L25" s="208">
        <v>25</v>
      </c>
      <c r="M25" s="208">
        <v>29</v>
      </c>
      <c r="N25" s="208"/>
      <c r="O25" s="208"/>
      <c r="P25" s="208"/>
      <c r="Q25" s="208"/>
      <c r="R25" s="208"/>
      <c r="S25" s="208"/>
      <c r="T25" s="208"/>
      <c r="U25" s="208"/>
      <c r="V25" s="208">
        <v>19</v>
      </c>
      <c r="W25" s="208">
        <v>23</v>
      </c>
      <c r="X25" s="208"/>
      <c r="Y25" s="208"/>
      <c r="Z25" s="208"/>
      <c r="AA25" s="210"/>
      <c r="AB25" s="93">
        <v>1</v>
      </c>
      <c r="AC25" s="37">
        <v>1</v>
      </c>
      <c r="AD25" s="94">
        <v>0</v>
      </c>
      <c r="AE25" s="196"/>
      <c r="AF25" s="38"/>
      <c r="AG25" s="75"/>
      <c r="AH25" s="74"/>
      <c r="AI25" s="38"/>
      <c r="AJ25" s="75"/>
      <c r="AK25" s="74"/>
      <c r="AL25" s="38"/>
      <c r="AM25" s="75"/>
    </row>
    <row r="26" spans="1:39" s="7" customFormat="1" ht="16.5" thickBot="1" x14ac:dyDescent="0.3">
      <c r="A26" s="21">
        <f>+A25+0.1</f>
        <v>7.1</v>
      </c>
      <c r="B26" s="11" t="s">
        <v>96</v>
      </c>
      <c r="C26" s="113" t="s">
        <v>98</v>
      </c>
      <c r="D26" s="211"/>
      <c r="E26" s="212"/>
      <c r="F26" s="212"/>
      <c r="G26" s="212"/>
      <c r="H26" s="213"/>
      <c r="I26" s="213"/>
      <c r="J26" s="212">
        <v>6</v>
      </c>
      <c r="K26" s="212">
        <v>10</v>
      </c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>
        <v>5</v>
      </c>
      <c r="W26" s="212">
        <v>9</v>
      </c>
      <c r="X26" s="212"/>
      <c r="Y26" s="212"/>
      <c r="Z26" s="212"/>
      <c r="AA26" s="214"/>
      <c r="AB26" s="11">
        <v>1</v>
      </c>
      <c r="AC26" s="8">
        <v>1</v>
      </c>
      <c r="AD26" s="88">
        <v>0</v>
      </c>
      <c r="AE26" s="197"/>
      <c r="AF26" s="9"/>
      <c r="AG26" s="76"/>
      <c r="AH26" s="56"/>
      <c r="AI26" s="9"/>
      <c r="AJ26" s="76"/>
      <c r="AK26" s="56"/>
      <c r="AL26" s="9"/>
      <c r="AM26" s="76"/>
    </row>
    <row r="27" spans="1:39" s="7" customFormat="1" ht="26.25" thickBot="1" x14ac:dyDescent="0.3">
      <c r="A27" s="21">
        <f>+A26+0.1</f>
        <v>7.1999999999999993</v>
      </c>
      <c r="B27" s="105" t="s">
        <v>96</v>
      </c>
      <c r="C27" s="121" t="s">
        <v>99</v>
      </c>
      <c r="D27" s="243"/>
      <c r="E27" s="244"/>
      <c r="F27" s="244"/>
      <c r="G27" s="244"/>
      <c r="H27" s="244"/>
      <c r="I27" s="244"/>
      <c r="J27" s="245">
        <v>27</v>
      </c>
      <c r="K27" s="245">
        <v>30</v>
      </c>
      <c r="L27" s="245">
        <v>1</v>
      </c>
      <c r="M27" s="244"/>
      <c r="N27" s="245">
        <v>22</v>
      </c>
      <c r="O27" s="245">
        <v>26</v>
      </c>
      <c r="P27" s="244"/>
      <c r="Q27" s="244"/>
      <c r="R27" s="244"/>
      <c r="S27" s="244"/>
      <c r="T27" s="244"/>
      <c r="U27" s="244"/>
      <c r="V27" s="244"/>
      <c r="W27" s="244"/>
      <c r="X27" s="244"/>
      <c r="Y27" s="244"/>
      <c r="Z27" s="244"/>
      <c r="AA27" s="246"/>
      <c r="AB27" s="107">
        <v>1</v>
      </c>
      <c r="AC27" s="108">
        <v>1</v>
      </c>
      <c r="AD27" s="109">
        <v>0</v>
      </c>
      <c r="AE27" s="106" t="s">
        <v>100</v>
      </c>
      <c r="AF27" s="202"/>
      <c r="AG27" s="110"/>
      <c r="AH27" s="106" t="s">
        <v>101</v>
      </c>
      <c r="AI27" s="111"/>
      <c r="AJ27" s="110"/>
      <c r="AK27" s="106"/>
      <c r="AL27" s="111"/>
      <c r="AM27" s="110"/>
    </row>
    <row r="28" spans="1:39" s="7" customFormat="1" ht="16.5" thickBot="1" x14ac:dyDescent="0.3">
      <c r="A28" s="22">
        <v>8</v>
      </c>
      <c r="B28" s="20" t="s">
        <v>102</v>
      </c>
      <c r="C28" s="122" t="s">
        <v>103</v>
      </c>
      <c r="D28" s="233"/>
      <c r="E28" s="234"/>
      <c r="F28" s="234"/>
      <c r="G28" s="234"/>
      <c r="H28" s="242"/>
      <c r="I28" s="242"/>
      <c r="J28" s="234"/>
      <c r="K28" s="234"/>
      <c r="L28" s="234"/>
      <c r="M28" s="234"/>
      <c r="N28" s="234">
        <v>26</v>
      </c>
      <c r="O28" s="234">
        <v>30</v>
      </c>
      <c r="P28" s="234">
        <v>1</v>
      </c>
      <c r="Q28" s="234">
        <v>1</v>
      </c>
      <c r="R28" s="234">
        <v>27</v>
      </c>
      <c r="S28" s="234">
        <v>31</v>
      </c>
      <c r="T28" s="234">
        <v>1</v>
      </c>
      <c r="U28" s="234">
        <v>1</v>
      </c>
      <c r="V28" s="234"/>
      <c r="W28" s="234"/>
      <c r="X28" s="234"/>
      <c r="Y28" s="234"/>
      <c r="Z28" s="234"/>
      <c r="AA28" s="237"/>
      <c r="AB28" s="20">
        <v>1</v>
      </c>
      <c r="AC28" s="44">
        <v>1</v>
      </c>
      <c r="AD28" s="95">
        <v>0</v>
      </c>
      <c r="AE28" s="198"/>
      <c r="AF28" s="46"/>
      <c r="AG28" s="70"/>
      <c r="AH28" s="73"/>
      <c r="AI28" s="46"/>
      <c r="AJ28" s="70"/>
      <c r="AK28" s="73"/>
      <c r="AL28" s="46"/>
      <c r="AM28" s="70"/>
    </row>
    <row r="29" spans="1:39" s="7" customFormat="1" ht="109.15" customHeight="1" x14ac:dyDescent="0.25">
      <c r="A29" s="16">
        <v>9</v>
      </c>
      <c r="B29" s="6" t="s">
        <v>104</v>
      </c>
      <c r="C29" s="117" t="s">
        <v>105</v>
      </c>
      <c r="D29" s="207"/>
      <c r="E29" s="208"/>
      <c r="F29" s="208"/>
      <c r="G29" s="208"/>
      <c r="H29" s="209"/>
      <c r="I29" s="209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  <c r="X29" s="208"/>
      <c r="Y29" s="208"/>
      <c r="Z29" s="208"/>
      <c r="AA29" s="210"/>
      <c r="AB29" s="93">
        <v>0</v>
      </c>
      <c r="AC29" s="37">
        <v>0</v>
      </c>
      <c r="AD29" s="94">
        <v>0</v>
      </c>
      <c r="AE29" s="199"/>
      <c r="AF29" s="189"/>
      <c r="AG29" s="75"/>
      <c r="AH29" s="74"/>
      <c r="AI29" s="38"/>
      <c r="AJ29" s="75"/>
      <c r="AK29" s="74"/>
      <c r="AL29" s="38"/>
      <c r="AM29" s="75"/>
    </row>
    <row r="30" spans="1:39" s="7" customFormat="1" ht="26.25" thickBot="1" x14ac:dyDescent="0.3">
      <c r="A30" s="21">
        <f t="shared" si="0"/>
        <v>9.1</v>
      </c>
      <c r="B30" s="18" t="s">
        <v>104</v>
      </c>
      <c r="C30" s="123" t="s">
        <v>106</v>
      </c>
      <c r="D30" s="215">
        <v>19</v>
      </c>
      <c r="E30" s="216">
        <v>23</v>
      </c>
      <c r="F30" s="216"/>
      <c r="G30" s="216"/>
      <c r="H30" s="217"/>
      <c r="I30" s="217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>
        <v>15</v>
      </c>
      <c r="AA30" s="218">
        <v>19</v>
      </c>
      <c r="AB30" s="89">
        <v>1</v>
      </c>
      <c r="AC30" s="35">
        <v>1</v>
      </c>
      <c r="AD30" s="90">
        <v>0</v>
      </c>
      <c r="AE30" s="200" t="s">
        <v>107</v>
      </c>
      <c r="AF30" s="36" t="s">
        <v>108</v>
      </c>
      <c r="AG30" s="77"/>
      <c r="AH30" s="59"/>
      <c r="AI30" s="36"/>
      <c r="AJ30" s="77"/>
      <c r="AK30" s="59"/>
      <c r="AL30" s="36"/>
      <c r="AM30" s="77"/>
    </row>
    <row r="31" spans="1:39" s="7" customFormat="1" ht="76.5" x14ac:dyDescent="0.25">
      <c r="A31" s="16">
        <v>10</v>
      </c>
      <c r="B31" s="6" t="s">
        <v>109</v>
      </c>
      <c r="C31" s="117" t="s">
        <v>110</v>
      </c>
      <c r="D31" s="219"/>
      <c r="E31" s="220"/>
      <c r="F31" s="220"/>
      <c r="G31" s="220"/>
      <c r="H31" s="221">
        <v>9</v>
      </c>
      <c r="I31" s="221">
        <v>13</v>
      </c>
      <c r="J31" s="220"/>
      <c r="K31" s="220"/>
      <c r="L31" s="220"/>
      <c r="M31" s="220"/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2"/>
      <c r="AB31" s="6">
        <v>0</v>
      </c>
      <c r="AC31" s="39">
        <v>0</v>
      </c>
      <c r="AD31" s="91">
        <v>0</v>
      </c>
      <c r="AE31" s="61" t="s">
        <v>111</v>
      </c>
      <c r="AF31" s="40" t="s">
        <v>112</v>
      </c>
      <c r="AG31" s="62"/>
      <c r="AH31" s="61"/>
      <c r="AI31" s="40"/>
      <c r="AJ31" s="62"/>
      <c r="AK31" s="61"/>
      <c r="AL31" s="41"/>
      <c r="AM31" s="78"/>
    </row>
    <row r="32" spans="1:39" s="7" customFormat="1" ht="26.25" thickBot="1" x14ac:dyDescent="0.3">
      <c r="A32" s="15">
        <f t="shared" si="0"/>
        <v>10.1</v>
      </c>
      <c r="B32" s="18" t="s">
        <v>109</v>
      </c>
      <c r="C32" s="116" t="s">
        <v>113</v>
      </c>
      <c r="D32" s="247"/>
      <c r="E32" s="248"/>
      <c r="F32" s="248"/>
      <c r="G32" s="248"/>
      <c r="H32" s="249"/>
      <c r="I32" s="249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A32" s="250"/>
      <c r="AB32" s="18">
        <v>0</v>
      </c>
      <c r="AC32" s="42">
        <v>0</v>
      </c>
      <c r="AD32" s="92">
        <v>0</v>
      </c>
      <c r="AE32" s="63" t="s">
        <v>114</v>
      </c>
      <c r="AF32" s="43" t="s">
        <v>114</v>
      </c>
      <c r="AG32" s="64" t="s">
        <v>114</v>
      </c>
      <c r="AH32" s="63"/>
      <c r="AI32" s="43"/>
      <c r="AJ32" s="64"/>
      <c r="AK32" s="63"/>
      <c r="AL32" s="43"/>
      <c r="AM32" s="64"/>
    </row>
    <row r="33" spans="1:39" s="7" customFormat="1" ht="16.5" thickBot="1" x14ac:dyDescent="0.3">
      <c r="A33" s="23">
        <v>11</v>
      </c>
      <c r="B33" s="24" t="s">
        <v>115</v>
      </c>
      <c r="C33" s="124" t="s">
        <v>116</v>
      </c>
      <c r="D33" s="233"/>
      <c r="E33" s="234"/>
      <c r="F33" s="234"/>
      <c r="G33" s="234"/>
      <c r="H33" s="234"/>
      <c r="I33" s="234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34"/>
      <c r="Z33" s="234"/>
      <c r="AA33" s="237"/>
      <c r="AB33" s="20">
        <v>0</v>
      </c>
      <c r="AC33" s="44">
        <v>0</v>
      </c>
      <c r="AD33" s="95">
        <v>0</v>
      </c>
      <c r="AE33" s="73"/>
      <c r="AF33" s="46"/>
      <c r="AG33" s="70"/>
      <c r="AH33" s="73"/>
      <c r="AI33" s="46"/>
      <c r="AJ33" s="70"/>
      <c r="AK33" s="73"/>
      <c r="AL33" s="46"/>
      <c r="AM33" s="70"/>
    </row>
    <row r="35" spans="1:39" ht="15.6" hidden="1" customHeight="1" x14ac:dyDescent="0.25">
      <c r="B35" s="3" t="s">
        <v>117</v>
      </c>
      <c r="C35" s="3" t="s">
        <v>7</v>
      </c>
    </row>
    <row r="36" spans="1:39" ht="15.6" hidden="1" customHeight="1" x14ac:dyDescent="0.25">
      <c r="B36" s="3" t="s">
        <v>118</v>
      </c>
      <c r="C36" s="3" t="s">
        <v>8</v>
      </c>
    </row>
    <row r="37" spans="1:39" ht="15.6" hidden="1" customHeight="1" x14ac:dyDescent="0.25">
      <c r="B37" s="3" t="s">
        <v>119</v>
      </c>
      <c r="C37" s="3" t="s">
        <v>9</v>
      </c>
    </row>
    <row r="38" spans="1:39" ht="15.6" hidden="1" customHeight="1" x14ac:dyDescent="0.25">
      <c r="B38" s="3" t="s">
        <v>120</v>
      </c>
      <c r="C38" s="3" t="s">
        <v>10</v>
      </c>
    </row>
    <row r="39" spans="1:39" ht="15.6" hidden="1" customHeight="1" x14ac:dyDescent="0.25">
      <c r="B39" s="3" t="s">
        <v>121</v>
      </c>
      <c r="C39" s="3" t="s">
        <v>11</v>
      </c>
    </row>
    <row r="40" spans="1:39" ht="15.6" hidden="1" customHeight="1" x14ac:dyDescent="0.25">
      <c r="B40" s="3" t="s">
        <v>122</v>
      </c>
      <c r="C40" s="3" t="s">
        <v>12</v>
      </c>
    </row>
    <row r="41" spans="1:39" ht="15.6" hidden="1" customHeight="1" x14ac:dyDescent="0.25">
      <c r="B41" s="3" t="s">
        <v>123</v>
      </c>
      <c r="C41" s="3" t="s">
        <v>13</v>
      </c>
    </row>
    <row r="42" spans="1:39" ht="15.6" hidden="1" customHeight="1" x14ac:dyDescent="0.25">
      <c r="B42" s="3" t="s">
        <v>124</v>
      </c>
      <c r="C42" s="3" t="s">
        <v>14</v>
      </c>
    </row>
    <row r="43" spans="1:39" ht="15.6" hidden="1" customHeight="1" x14ac:dyDescent="0.25">
      <c r="B43" s="3" t="s">
        <v>125</v>
      </c>
      <c r="C43" s="3" t="s">
        <v>15</v>
      </c>
    </row>
    <row r="44" spans="1:39" ht="15.6" hidden="1" customHeight="1" x14ac:dyDescent="0.25">
      <c r="B44" s="3" t="s">
        <v>126</v>
      </c>
      <c r="C44" s="3" t="s">
        <v>16</v>
      </c>
    </row>
    <row r="45" spans="1:39" ht="15.6" hidden="1" customHeight="1" x14ac:dyDescent="0.25">
      <c r="B45" s="3" t="s">
        <v>127</v>
      </c>
      <c r="C45" s="3" t="s">
        <v>17</v>
      </c>
    </row>
    <row r="46" spans="1:39" ht="15.6" hidden="1" customHeight="1" x14ac:dyDescent="0.25">
      <c r="B46" s="3" t="s">
        <v>128</v>
      </c>
      <c r="C46" s="3" t="s">
        <v>18</v>
      </c>
    </row>
    <row r="47" spans="1:39" x14ac:dyDescent="0.25">
      <c r="B47" s="31" t="s">
        <v>129</v>
      </c>
    </row>
    <row r="48" spans="1:39" x14ac:dyDescent="0.25">
      <c r="B48" s="28"/>
      <c r="C48" s="32" t="s">
        <v>130</v>
      </c>
    </row>
    <row r="49" spans="2:3" ht="31.5" x14ac:dyDescent="0.25">
      <c r="B49" s="29"/>
      <c r="C49" s="33" t="s">
        <v>131</v>
      </c>
    </row>
    <row r="50" spans="2:3" x14ac:dyDescent="0.25">
      <c r="B50" s="30"/>
      <c r="C50" s="32" t="s">
        <v>132</v>
      </c>
    </row>
    <row r="51" spans="2:3" ht="47.25" x14ac:dyDescent="0.25">
      <c r="B51" s="8">
        <v>1</v>
      </c>
      <c r="C51" s="33" t="s">
        <v>133</v>
      </c>
    </row>
    <row r="52" spans="2:3" ht="47.25" x14ac:dyDescent="0.25">
      <c r="B52" s="8">
        <v>0</v>
      </c>
      <c r="C52" s="33" t="s">
        <v>134</v>
      </c>
    </row>
    <row r="53" spans="2:3" ht="47.25" x14ac:dyDescent="0.25">
      <c r="B53" s="8">
        <v>2</v>
      </c>
      <c r="C53" s="33" t="s">
        <v>135</v>
      </c>
    </row>
    <row r="66" spans="31:32" x14ac:dyDescent="0.25">
      <c r="AE66" s="206"/>
      <c r="AF66" s="206"/>
    </row>
    <row r="67" spans="31:32" x14ac:dyDescent="0.25">
      <c r="AE67" s="206"/>
      <c r="AF67" s="206"/>
    </row>
  </sheetData>
  <autoFilter ref="B2:C33" xr:uid="{68671579-C27C-4B46-8057-D65CC4CA86E3}"/>
  <mergeCells count="5">
    <mergeCell ref="B1:C1"/>
    <mergeCell ref="AB1:AD1"/>
    <mergeCell ref="AE1:AG1"/>
    <mergeCell ref="AH1:AJ1"/>
    <mergeCell ref="AK1:AM1"/>
  </mergeCells>
  <pageMargins left="0.25" right="0.25" top="0.75" bottom="0.75" header="0.3" footer="0.3"/>
  <pageSetup paperSize="9" scale="60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C8DDA7E8-3D99-4871-92A3-BB098DC027D7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1"/>
              <x14:cfIcon iconSet="3Symbols" iconId="0"/>
              <x14:cfIcon iconSet="3Symbols" iconId="2"/>
            </x14:iconSet>
          </x14:cfRule>
          <xm:sqref>B51:B53</xm:sqref>
        </x14:conditionalFormatting>
        <x14:conditionalFormatting xmlns:xm="http://schemas.microsoft.com/office/excel/2006/main">
          <x14:cfRule type="iconSet" priority="3" id="{1E1A3A93-1501-44C8-89CE-1BB47372D9C8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1"/>
              <x14:cfIcon iconSet="3Symbols" iconId="0"/>
              <x14:cfIcon iconSet="3Symbols" iconId="2"/>
            </x14:iconSet>
          </x14:cfRule>
          <xm:sqref>AB3:AD33</xm:sqref>
        </x14:conditionalFormatting>
        <x14:conditionalFormatting xmlns:xm="http://schemas.microsoft.com/office/excel/2006/main">
          <x14:cfRule type="iconSet" priority="1" id="{1590980B-7BD5-47D1-95DD-20DBEF506AAC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1"/>
              <x14:cfIcon iconSet="3Symbols" iconId="0"/>
              <x14:cfIcon iconSet="3Symbols" iconId="2"/>
            </x14:iconSet>
          </x14:cfRule>
          <xm:sqref>AE20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2736B-DA03-4FE0-9C2F-B9FA55060953}">
  <sheetPr codeName="Hoja8"/>
  <dimension ref="A1:AF34"/>
  <sheetViews>
    <sheetView topLeftCell="D1" zoomScale="98" zoomScaleNormal="98" workbookViewId="0">
      <selection activeCell="AH9" sqref="AH9"/>
    </sheetView>
  </sheetViews>
  <sheetFormatPr baseColWidth="10" defaultColWidth="8.7109375" defaultRowHeight="30" customHeight="1" x14ac:dyDescent="0.25"/>
  <cols>
    <col min="1" max="1" width="5" style="172" hidden="1" customWidth="1"/>
    <col min="2" max="2" width="4.42578125" style="172" hidden="1" customWidth="1"/>
    <col min="3" max="3" width="8.28515625" style="173" hidden="1" customWidth="1"/>
    <col min="4" max="4" width="32.85546875" style="178" customWidth="1"/>
    <col min="5" max="28" width="3.140625" style="172" bestFit="1" customWidth="1"/>
    <col min="29" max="29" width="11.28515625" style="172" hidden="1" customWidth="1"/>
    <col min="30" max="30" width="2.28515625" style="172" hidden="1" customWidth="1"/>
    <col min="31" max="31" width="11.28515625" style="171" bestFit="1" customWidth="1"/>
    <col min="32" max="32" width="2.28515625" style="172" bestFit="1" customWidth="1"/>
    <col min="33" max="16384" width="8.7109375" style="172"/>
  </cols>
  <sheetData>
    <row r="1" spans="1:32" s="168" customFormat="1" ht="23.25" x14ac:dyDescent="0.25">
      <c r="A1" s="167"/>
      <c r="C1" s="169"/>
      <c r="D1" s="185" t="s">
        <v>136</v>
      </c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E1" s="171"/>
    </row>
    <row r="2" spans="1:32" ht="38.25" thickBot="1" x14ac:dyDescent="0.3">
      <c r="D2" s="174" t="s">
        <v>40</v>
      </c>
      <c r="E2" s="283" t="s">
        <v>7</v>
      </c>
      <c r="F2" s="283"/>
      <c r="G2" s="283" t="s">
        <v>8</v>
      </c>
      <c r="H2" s="283"/>
      <c r="I2" s="283" t="s">
        <v>9</v>
      </c>
      <c r="J2" s="283"/>
      <c r="K2" s="283" t="s">
        <v>10</v>
      </c>
      <c r="L2" s="283"/>
      <c r="M2" s="283" t="s">
        <v>11</v>
      </c>
      <c r="N2" s="283"/>
      <c r="O2" s="283" t="s">
        <v>12</v>
      </c>
      <c r="P2" s="283"/>
      <c r="Q2" s="283" t="s">
        <v>13</v>
      </c>
      <c r="R2" s="283"/>
      <c r="S2" s="283" t="s">
        <v>14</v>
      </c>
      <c r="T2" s="283"/>
      <c r="U2" s="283" t="s">
        <v>15</v>
      </c>
      <c r="V2" s="283"/>
      <c r="W2" s="283" t="s">
        <v>16</v>
      </c>
      <c r="X2" s="283"/>
      <c r="Y2" s="283" t="s">
        <v>17</v>
      </c>
      <c r="Z2" s="283"/>
      <c r="AA2" s="283" t="s">
        <v>18</v>
      </c>
      <c r="AB2" s="283"/>
      <c r="AC2" s="175" t="s">
        <v>137</v>
      </c>
      <c r="AE2" s="184" t="s">
        <v>137</v>
      </c>
    </row>
    <row r="3" spans="1:32" ht="20.25" hidden="1" thickTop="1" thickBot="1" x14ac:dyDescent="0.3">
      <c r="D3" s="176"/>
      <c r="E3" s="177" t="s">
        <v>26</v>
      </c>
      <c r="F3" s="177" t="s">
        <v>27</v>
      </c>
      <c r="G3" s="177" t="s">
        <v>26</v>
      </c>
      <c r="H3" s="177" t="s">
        <v>27</v>
      </c>
      <c r="I3" s="177" t="s">
        <v>26</v>
      </c>
      <c r="J3" s="177" t="s">
        <v>27</v>
      </c>
      <c r="K3" s="177" t="s">
        <v>26</v>
      </c>
      <c r="L3" s="177" t="s">
        <v>27</v>
      </c>
      <c r="M3" s="177" t="s">
        <v>26</v>
      </c>
      <c r="N3" s="177" t="s">
        <v>27</v>
      </c>
      <c r="O3" s="177" t="s">
        <v>26</v>
      </c>
      <c r="P3" s="177" t="s">
        <v>27</v>
      </c>
      <c r="Q3" s="177" t="s">
        <v>26</v>
      </c>
      <c r="R3" s="177" t="s">
        <v>27</v>
      </c>
      <c r="S3" s="177" t="s">
        <v>26</v>
      </c>
      <c r="T3" s="177" t="s">
        <v>27</v>
      </c>
      <c r="U3" s="177" t="s">
        <v>26</v>
      </c>
      <c r="V3" s="177" t="s">
        <v>27</v>
      </c>
      <c r="W3" s="177" t="s">
        <v>26</v>
      </c>
      <c r="X3" s="177" t="s">
        <v>27</v>
      </c>
      <c r="Y3" s="177" t="s">
        <v>26</v>
      </c>
      <c r="Z3" s="177" t="s">
        <v>27</v>
      </c>
      <c r="AA3" s="177" t="s">
        <v>26</v>
      </c>
      <c r="AB3" s="177" t="s">
        <v>27</v>
      </c>
      <c r="AC3" s="175"/>
    </row>
    <row r="4" spans="1:32" ht="15.75" thickTop="1" x14ac:dyDescent="0.25">
      <c r="B4" s="172">
        <f>+IF($D$2="","",VLOOKUP($D$2,[7]Hoja4!A2:B12,2,FALSE))</f>
        <v>1</v>
      </c>
      <c r="C4" s="173" t="str">
        <f>+IF(B4="","",VLOOKUP(B4,'Planeación de ParadasRev01'!$A$3:$C$33,3))</f>
        <v>LIN1LUX</v>
      </c>
      <c r="D4" s="178" t="str">
        <f>+C4</f>
        <v>LIN1LUX</v>
      </c>
      <c r="E4" s="183">
        <f>+IF(D4="","",VLOOKUP($D4,'Planeación de ParadasRev01'!$C$3:$AA$33,E$17,FALSE))</f>
        <v>0</v>
      </c>
      <c r="F4" s="183">
        <f>+IF(E4="","",VLOOKUP($D4,'Planeación de ParadasRev01'!$C$3:$AA$33,F$17,FALSE))</f>
        <v>0</v>
      </c>
      <c r="G4" s="183">
        <f>+IF(F4="","",VLOOKUP($D4,'Planeación de ParadasRev01'!$C$3:$AA$33,G$17,FALSE))</f>
        <v>0</v>
      </c>
      <c r="H4" s="183">
        <f>+IF(G4="","",VLOOKUP($D4,'Planeación de ParadasRev01'!$C$3:$AA$33,H$17,FALSE))</f>
        <v>0</v>
      </c>
      <c r="I4" s="183">
        <f>+IF(H4="","",VLOOKUP($D4,'Planeación de ParadasRev01'!$C$3:$AA$33,I$17,FALSE))</f>
        <v>9</v>
      </c>
      <c r="J4" s="183">
        <f>+IF(I4="","",VLOOKUP($D4,'Planeación de ParadasRev01'!$C$3:$AA$33,J$17,FALSE))</f>
        <v>13</v>
      </c>
      <c r="K4" s="183">
        <f>+IF(J4="","",VLOOKUP($D4,'Planeación de ParadasRev01'!$C$3:$AA$33,K$17,FALSE))</f>
        <v>0</v>
      </c>
      <c r="L4" s="183">
        <f>+IF(K4="","",VLOOKUP($D4,'Planeación de ParadasRev01'!$C$3:$AA$33,L$17,FALSE))</f>
        <v>0</v>
      </c>
      <c r="M4" s="183">
        <f>+IF(L4="","",VLOOKUP($D4,'Planeación de ParadasRev01'!$C$3:$AA$33,M$17,FALSE))</f>
        <v>0</v>
      </c>
      <c r="N4" s="183">
        <f>+IF(M4="","",VLOOKUP($D4,'Planeación de ParadasRev01'!$C$3:$AA$33,N$17,FALSE))</f>
        <v>0</v>
      </c>
      <c r="O4" s="183">
        <f>+IF(N4="","",VLOOKUP($D4,'Planeación de ParadasRev01'!$C$3:$AA$33,O$17,FALSE))</f>
        <v>0</v>
      </c>
      <c r="P4" s="183">
        <f>+IF(O4="","",VLOOKUP($D4,'Planeación de ParadasRev01'!$C$3:$AA$33,P$17,FALSE))</f>
        <v>0</v>
      </c>
      <c r="Q4" s="183">
        <f>+IF(P4="","",VLOOKUP($D4,'Planeación de ParadasRev01'!$C$3:$AA$33,Q$17,FALSE))</f>
        <v>0</v>
      </c>
      <c r="R4" s="183">
        <f>+IF(Q4="","",VLOOKUP($D4,'Planeación de ParadasRev01'!$C$3:$AA$33,R$17,FALSE))</f>
        <v>0</v>
      </c>
      <c r="S4" s="183">
        <f>+IF(R4="","",VLOOKUP($D4,'Planeación de ParadasRev01'!$C$3:$AA$33,S$17,FALSE))</f>
        <v>0</v>
      </c>
      <c r="T4" s="183">
        <f>+IF(S4="","",VLOOKUP($D4,'Planeación de ParadasRev01'!$C$3:$AA$33,T$17,FALSE))</f>
        <v>0</v>
      </c>
      <c r="U4" s="183">
        <f>+IF(T4="","",VLOOKUP($D4,'Planeación de ParadasRev01'!$C$3:$AA$33,U$17,FALSE))</f>
        <v>21</v>
      </c>
      <c r="V4" s="183">
        <f>+IF(U4="","",VLOOKUP($D4,'Planeación de ParadasRev01'!$C$3:$AA$33,V$17,FALSE))</f>
        <v>25</v>
      </c>
      <c r="W4" s="183">
        <f>+IF(V4="","",VLOOKUP($D4,'Planeación de ParadasRev01'!$C$3:$AA$33,W$17,FALSE))</f>
        <v>0</v>
      </c>
      <c r="X4" s="183">
        <f>+IF(W4="","",VLOOKUP($D4,'Planeación de ParadasRev01'!$C$3:$AA$33,X$17,FALSE))</f>
        <v>0</v>
      </c>
      <c r="Y4" s="183">
        <f>+IF(X4="","",VLOOKUP($D4,'Planeación de ParadasRev01'!$C$3:$AA$33,Y$17,FALSE))</f>
        <v>0</v>
      </c>
      <c r="Z4" s="183">
        <f>+IF(Y4="","",VLOOKUP($D4,'Planeación de ParadasRev01'!$C$3:$AA$33,Z$17,FALSE))</f>
        <v>0</v>
      </c>
      <c r="AA4" s="183">
        <f>+IF(Z4="","",VLOOKUP($D4,'Planeación de ParadasRev01'!$C$3:$AA$33,AA$17,FALSE))</f>
        <v>0</v>
      </c>
      <c r="AB4" s="183">
        <f>+IF(AA4="","",VLOOKUP($D4,'Planeación de ParadasRev01'!$C$3:$AA$33,AB$17,FALSE))</f>
        <v>0</v>
      </c>
      <c r="AC4" s="179" t="e">
        <f t="shared" ref="AC4:AC34" si="0">SumaDiferenciasConColor(A4:AB4)</f>
        <v>#VALUE!</v>
      </c>
      <c r="AD4" s="180">
        <f t="shared" ref="AD4:AD34" si="1">ContarSinColor(E4:AB4)</f>
        <v>0</v>
      </c>
      <c r="AE4" s="179" t="str">
        <f>+(IF(AD4=0,"",AC4+AD4))</f>
        <v/>
      </c>
    </row>
    <row r="5" spans="1:32" ht="30" customHeight="1" x14ac:dyDescent="0.25">
      <c r="B5" s="172">
        <f>+B4+0.1</f>
        <v>1.1000000000000001</v>
      </c>
      <c r="C5" s="173" t="str">
        <f>+IF(B5="","",VLOOKUP(B5,'Planeación de ParadasRev01'!$A$3:$C$33,3))</f>
        <v>LIN2LUX</v>
      </c>
      <c r="D5" s="178" t="str">
        <f>+IF(C5=C4,"",C5)</f>
        <v>LIN2LUX</v>
      </c>
      <c r="E5" s="183">
        <f>+IF(D5="","",VLOOKUP($D5,'Planeación de ParadasRev01'!$C$3:$AA$33,E$17,FALSE))</f>
        <v>0</v>
      </c>
      <c r="F5" s="183">
        <f>+IF(E5="","",VLOOKUP($D5,'Planeación de ParadasRev01'!$C$3:$AA$33,F$17,FALSE))</f>
        <v>0</v>
      </c>
      <c r="G5" s="183">
        <f>+IF(F5="","",VLOOKUP($D5,'Planeación de ParadasRev01'!$C$3:$AA$33,G$17,FALSE))</f>
        <v>0</v>
      </c>
      <c r="H5" s="183">
        <f>+IF(G5="","",VLOOKUP($D5,'Planeación de ParadasRev01'!$C$3:$AA$33,H$17,FALSE))</f>
        <v>0</v>
      </c>
      <c r="I5" s="183">
        <f>+IF(H5="","",VLOOKUP($D5,'Planeación de ParadasRev01'!$C$3:$AA$33,I$17,FALSE))</f>
        <v>0</v>
      </c>
      <c r="J5" s="183">
        <f>+IF(I5="","",VLOOKUP($D5,'Planeación de ParadasRev01'!$C$3:$AA$33,J$17,FALSE))</f>
        <v>0</v>
      </c>
      <c r="K5" s="183">
        <f>+IF(J5="","",VLOOKUP($D5,'Planeación de ParadasRev01'!$C$3:$AA$33,K$17,FALSE))</f>
        <v>0</v>
      </c>
      <c r="L5" s="183">
        <f>+IF(K5="","",VLOOKUP($D5,'Planeación de ParadasRev01'!$C$3:$AA$33,L$17,FALSE))</f>
        <v>0</v>
      </c>
      <c r="M5" s="183">
        <f>+IF(L5="","",VLOOKUP($D5,'Planeación de ParadasRev01'!$C$3:$AA$33,M$17,FALSE))</f>
        <v>0</v>
      </c>
      <c r="N5" s="183">
        <f>+IF(M5="","",VLOOKUP($D5,'Planeación de ParadasRev01'!$C$3:$AA$33,N$17,FALSE))</f>
        <v>0</v>
      </c>
      <c r="O5" s="183">
        <f>+IF(N5="","",VLOOKUP($D5,'Planeación de ParadasRev01'!$C$3:$AA$33,O$17,FALSE))</f>
        <v>0</v>
      </c>
      <c r="P5" s="183">
        <f>+IF(O5="","",VLOOKUP($D5,'Planeación de ParadasRev01'!$C$3:$AA$33,P$17,FALSE))</f>
        <v>0</v>
      </c>
      <c r="Q5" s="183">
        <f>+IF(P5="","",VLOOKUP($D5,'Planeación de ParadasRev01'!$C$3:$AA$33,Q$17,FALSE))</f>
        <v>6</v>
      </c>
      <c r="R5" s="183">
        <f>+IF(Q5="","",VLOOKUP($D5,'Planeación de ParadasRev01'!$C$3:$AA$33,R$17,FALSE))</f>
        <v>13</v>
      </c>
      <c r="S5" s="183">
        <f>+IF(R5="","",VLOOKUP($D5,'Planeación de ParadasRev01'!$C$3:$AA$33,S$17,FALSE))</f>
        <v>0</v>
      </c>
      <c r="T5" s="183">
        <f>+IF(S5="","",VLOOKUP($D5,'Planeación de ParadasRev01'!$C$3:$AA$33,T$17,FALSE))</f>
        <v>0</v>
      </c>
      <c r="U5" s="183">
        <f>+IF(T5="","",VLOOKUP($D5,'Planeación de ParadasRev01'!$C$3:$AA$33,U$17,FALSE))</f>
        <v>0</v>
      </c>
      <c r="V5" s="183">
        <f>+IF(U5="","",VLOOKUP($D5,'Planeación de ParadasRev01'!$C$3:$AA$33,V$17,FALSE))</f>
        <v>0</v>
      </c>
      <c r="W5" s="183">
        <f>+IF(V5="","",VLOOKUP($D5,'Planeación de ParadasRev01'!$C$3:$AA$33,W$17,FALSE))</f>
        <v>0</v>
      </c>
      <c r="X5" s="183">
        <f>+IF(W5="","",VLOOKUP($D5,'Planeación de ParadasRev01'!$C$3:$AA$33,X$17,FALSE))</f>
        <v>0</v>
      </c>
      <c r="Y5" s="183">
        <f>+IF(X5="","",VLOOKUP($D5,'Planeación de ParadasRev01'!$C$3:$AA$33,Y$17,FALSE))</f>
        <v>0</v>
      </c>
      <c r="Z5" s="183">
        <f>+IF(Y5="","",VLOOKUP($D5,'Planeación de ParadasRev01'!$C$3:$AA$33,Z$17,FALSE))</f>
        <v>0</v>
      </c>
      <c r="AA5" s="183">
        <f>+IF(Z5="","",VLOOKUP($D5,'Planeación de ParadasRev01'!$C$3:$AA$33,AA$17,FALSE))</f>
        <v>0</v>
      </c>
      <c r="AB5" s="183">
        <f>+IF(AA5="","",VLOOKUP($D5,'Planeación de ParadasRev01'!$C$3:$AA$33,AB$17,FALSE))</f>
        <v>0</v>
      </c>
      <c r="AC5" s="179" t="e">
        <f t="shared" si="0"/>
        <v>#VALUE!</v>
      </c>
      <c r="AD5" s="180">
        <f t="shared" si="1"/>
        <v>0</v>
      </c>
      <c r="AE5" s="179" t="str">
        <f>+(IF(AD5=0,"",AC5+AD5))</f>
        <v/>
      </c>
    </row>
    <row r="6" spans="1:32" ht="30" customHeight="1" x14ac:dyDescent="0.25">
      <c r="B6" s="172">
        <f t="shared" ref="B6:B13" si="2">+B5+0.1</f>
        <v>1.2000000000000002</v>
      </c>
      <c r="C6" s="173" t="str">
        <f>+IF(B6="","",VLOOKUP(B6,'Planeación de ParadasRev01'!$A$3:$C$33,3))</f>
        <v>L3LUX</v>
      </c>
      <c r="D6" s="178" t="str">
        <f t="shared" ref="D6:D13" si="3">+IF(C6=C5,"",C6)</f>
        <v>L3LUX</v>
      </c>
      <c r="E6" s="183">
        <f>+IF(D6="","",VLOOKUP($D6,'Planeación de ParadasRev01'!$C$3:$AA$33,E$17,FALSE))</f>
        <v>0</v>
      </c>
      <c r="F6" s="183">
        <f>+IF(E6="","",VLOOKUP($D6,'Planeación de ParadasRev01'!$C$3:$AA$33,F$17,FALSE))</f>
        <v>0</v>
      </c>
      <c r="G6" s="183">
        <f>+IF(F6="","",VLOOKUP($D6,'Planeación de ParadasRev01'!$C$3:$AA$33,G$17,FALSE))</f>
        <v>0</v>
      </c>
      <c r="H6" s="183">
        <f>+IF(G6="","",VLOOKUP($D6,'Planeación de ParadasRev01'!$C$3:$AA$33,H$17,FALSE))</f>
        <v>0</v>
      </c>
      <c r="I6" s="183">
        <f>+IF(H6="","",VLOOKUP($D6,'Planeación de ParadasRev01'!$C$3:$AA$33,I$17,FALSE))</f>
        <v>0</v>
      </c>
      <c r="J6" s="183">
        <f>+IF(I6="","",VLOOKUP($D6,'Planeación de ParadasRev01'!$C$3:$AA$33,J$17,FALSE))</f>
        <v>0</v>
      </c>
      <c r="K6" s="183">
        <f>+IF(J6="","",VLOOKUP($D6,'Planeación de ParadasRev01'!$C$3:$AA$33,K$17,FALSE))</f>
        <v>0</v>
      </c>
      <c r="L6" s="183">
        <f>+IF(K6="","",VLOOKUP($D6,'Planeación de ParadasRev01'!$C$3:$AA$33,L$17,FALSE))</f>
        <v>0</v>
      </c>
      <c r="M6" s="183">
        <f>+IF(L6="","",VLOOKUP($D6,'Planeación de ParadasRev01'!$C$3:$AA$33,M$17,FALSE))</f>
        <v>0</v>
      </c>
      <c r="N6" s="183">
        <f>+IF(M6="","",VLOOKUP($D6,'Planeación de ParadasRev01'!$C$3:$AA$33,N$17,FALSE))</f>
        <v>0</v>
      </c>
      <c r="O6" s="183">
        <f>+IF(N6="","",VLOOKUP($D6,'Planeación de ParadasRev01'!$C$3:$AA$33,O$17,FALSE))</f>
        <v>22</v>
      </c>
      <c r="P6" s="183">
        <f>+IF(O6="","",VLOOKUP($D6,'Planeación de ParadasRev01'!$C$3:$AA$33,P$17,FALSE))</f>
        <v>26</v>
      </c>
      <c r="Q6" s="183">
        <f>+IF(P6="","",VLOOKUP($D6,'Planeación de ParadasRev01'!$C$3:$AA$33,Q$17,FALSE))</f>
        <v>0</v>
      </c>
      <c r="R6" s="183">
        <f>+IF(Q6="","",VLOOKUP($D6,'Planeación de ParadasRev01'!$C$3:$AA$33,R$17,FALSE))</f>
        <v>0</v>
      </c>
      <c r="S6" s="183">
        <f>+IF(R6="","",VLOOKUP($D6,'Planeación de ParadasRev01'!$C$3:$AA$33,S$17,FALSE))</f>
        <v>0</v>
      </c>
      <c r="T6" s="183">
        <f>+IF(S6="","",VLOOKUP($D6,'Planeación de ParadasRev01'!$C$3:$AA$33,T$17,FALSE))</f>
        <v>0</v>
      </c>
      <c r="U6" s="183">
        <f>+IF(T6="","",VLOOKUP($D6,'Planeación de ParadasRev01'!$C$3:$AA$33,U$17,FALSE))</f>
        <v>7</v>
      </c>
      <c r="V6" s="183">
        <f>+IF(U6="","",VLOOKUP($D6,'Planeación de ParadasRev01'!$C$3:$AA$33,V$17,FALSE))</f>
        <v>11</v>
      </c>
      <c r="W6" s="183">
        <f>+IF(V6="","",VLOOKUP($D6,'Planeación de ParadasRev01'!$C$3:$AA$33,W$17,FALSE))</f>
        <v>0</v>
      </c>
      <c r="X6" s="183">
        <f>+IF(W6="","",VLOOKUP($D6,'Planeación de ParadasRev01'!$C$3:$AA$33,X$17,FALSE))</f>
        <v>0</v>
      </c>
      <c r="Y6" s="183">
        <f>+IF(X6="","",VLOOKUP($D6,'Planeación de ParadasRev01'!$C$3:$AA$33,Y$17,FALSE))</f>
        <v>0</v>
      </c>
      <c r="Z6" s="183">
        <f>+IF(Y6="","",VLOOKUP($D6,'Planeación de ParadasRev01'!$C$3:$AA$33,Z$17,FALSE))</f>
        <v>0</v>
      </c>
      <c r="AA6" s="183">
        <f>+IF(Z6="","",VLOOKUP($D6,'Planeación de ParadasRev01'!$C$3:$AA$33,AA$17,FALSE))</f>
        <v>0</v>
      </c>
      <c r="AB6" s="183">
        <f>+IF(AA6="","",VLOOKUP($D6,'Planeación de ParadasRev01'!$C$3:$AA$33,AB$17,FALSE))</f>
        <v>0</v>
      </c>
      <c r="AC6" s="179" t="e">
        <f t="shared" si="0"/>
        <v>#VALUE!</v>
      </c>
      <c r="AD6" s="180">
        <f t="shared" si="1"/>
        <v>0</v>
      </c>
      <c r="AE6" s="179" t="str">
        <f t="shared" ref="AE6:AE13" si="4">+(IF(AD6=0,"",AC6+AD6))</f>
        <v/>
      </c>
    </row>
    <row r="7" spans="1:32" ht="30" customHeight="1" x14ac:dyDescent="0.25">
      <c r="B7" s="172">
        <f t="shared" si="2"/>
        <v>1.3000000000000003</v>
      </c>
      <c r="C7" s="173" t="str">
        <f>+IF(B7="","",VLOOKUP(B7,'Planeación de ParadasRev01'!$A$3:$C$33,3))</f>
        <v>L4LUX</v>
      </c>
      <c r="D7" s="178" t="str">
        <f t="shared" si="3"/>
        <v>L4LUX</v>
      </c>
      <c r="E7" s="183">
        <f>+IF(D7="","",VLOOKUP($D7,'Planeación de ParadasRev01'!$C$3:$AA$33,E$17,FALSE))</f>
        <v>0</v>
      </c>
      <c r="F7" s="183">
        <f>+IF(E7="","",VLOOKUP($D7,'Planeación de ParadasRev01'!$C$3:$AA$33,F$17,FALSE))</f>
        <v>0</v>
      </c>
      <c r="G7" s="183">
        <f>+IF(F7="","",VLOOKUP($D7,'Planeación de ParadasRev01'!$C$3:$AA$33,G$17,FALSE))</f>
        <v>0</v>
      </c>
      <c r="H7" s="183">
        <f>+IF(G7="","",VLOOKUP($D7,'Planeación de ParadasRev01'!$C$3:$AA$33,H$17,FALSE))</f>
        <v>0</v>
      </c>
      <c r="I7" s="183">
        <f>+IF(H7="","",VLOOKUP($D7,'Planeación de ParadasRev01'!$C$3:$AA$33,I$17,FALSE))</f>
        <v>0</v>
      </c>
      <c r="J7" s="183">
        <f>+IF(I7="","",VLOOKUP($D7,'Planeación de ParadasRev01'!$C$3:$AA$33,J$17,FALSE))</f>
        <v>0</v>
      </c>
      <c r="K7" s="183">
        <f>+IF(J7="","",VLOOKUP($D7,'Planeación de ParadasRev01'!$C$3:$AA$33,K$17,FALSE))</f>
        <v>20</v>
      </c>
      <c r="L7" s="183">
        <f>+IF(K7="","",VLOOKUP($D7,'Planeación de ParadasRev01'!$C$3:$AA$33,L$17,FALSE))</f>
        <v>24</v>
      </c>
      <c r="M7" s="183">
        <f>+IF(L7="","",VLOOKUP($D7,'Planeación de ParadasRev01'!$C$3:$AA$33,M$17,FALSE))</f>
        <v>0</v>
      </c>
      <c r="N7" s="183">
        <f>+IF(M7="","",VLOOKUP($D7,'Planeación de ParadasRev01'!$C$3:$AA$33,N$17,FALSE))</f>
        <v>0</v>
      </c>
      <c r="O7" s="183">
        <f>+IF(N7="","",VLOOKUP($D7,'Planeación de ParadasRev01'!$C$3:$AA$33,O$17,FALSE))</f>
        <v>0</v>
      </c>
      <c r="P7" s="183">
        <f>+IF(O7="","",VLOOKUP($D7,'Planeación de ParadasRev01'!$C$3:$AA$33,P$17,FALSE))</f>
        <v>0</v>
      </c>
      <c r="Q7" s="183">
        <f>+IF(P7="","",VLOOKUP($D7,'Planeación de ParadasRev01'!$C$3:$AA$33,Q$17,FALSE))</f>
        <v>0</v>
      </c>
      <c r="R7" s="183">
        <f>+IF(Q7="","",VLOOKUP($D7,'Planeación de ParadasRev01'!$C$3:$AA$33,R$17,FALSE))</f>
        <v>0</v>
      </c>
      <c r="S7" s="183">
        <f>+IF(R7="","",VLOOKUP($D7,'Planeación de ParadasRev01'!$C$3:$AA$33,S$17,FALSE))</f>
        <v>0</v>
      </c>
      <c r="T7" s="183">
        <f>+IF(S7="","",VLOOKUP($D7,'Planeación de ParadasRev01'!$C$3:$AA$33,T$17,FALSE))</f>
        <v>0</v>
      </c>
      <c r="U7" s="183">
        <f>+IF(T7="","",VLOOKUP($D7,'Planeación de ParadasRev01'!$C$3:$AA$33,U$17,FALSE))</f>
        <v>0</v>
      </c>
      <c r="V7" s="183">
        <f>+IF(U7="","",VLOOKUP($D7,'Planeación de ParadasRev01'!$C$3:$AA$33,V$17,FALSE))</f>
        <v>0</v>
      </c>
      <c r="W7" s="183">
        <f>+IF(V7="","",VLOOKUP($D7,'Planeación de ParadasRev01'!$C$3:$AA$33,W$17,FALSE))</f>
        <v>5</v>
      </c>
      <c r="X7" s="183">
        <f>+IF(W7="","",VLOOKUP($D7,'Planeación de ParadasRev01'!$C$3:$AA$33,X$17,FALSE))</f>
        <v>9</v>
      </c>
      <c r="Y7" s="183">
        <f>+IF(X7="","",VLOOKUP($D7,'Planeación de ParadasRev01'!$C$3:$AA$33,Y$17,FALSE))</f>
        <v>0</v>
      </c>
      <c r="Z7" s="183">
        <f>+IF(Y7="","",VLOOKUP($D7,'Planeación de ParadasRev01'!$C$3:$AA$33,Z$17,FALSE))</f>
        <v>0</v>
      </c>
      <c r="AA7" s="183">
        <f>+IF(Z7="","",VLOOKUP($D7,'Planeación de ParadasRev01'!$C$3:$AA$33,AA$17,FALSE))</f>
        <v>0</v>
      </c>
      <c r="AB7" s="183">
        <f>+IF(AA7="","",VLOOKUP($D7,'Planeación de ParadasRev01'!$C$3:$AA$33,AB$17,FALSE))</f>
        <v>0</v>
      </c>
      <c r="AC7" s="179" t="e">
        <f t="shared" si="0"/>
        <v>#VALUE!</v>
      </c>
      <c r="AD7" s="180">
        <f t="shared" si="1"/>
        <v>0</v>
      </c>
      <c r="AE7" s="179" t="str">
        <f t="shared" si="4"/>
        <v/>
      </c>
    </row>
    <row r="8" spans="1:32" ht="30" customHeight="1" x14ac:dyDescent="0.25">
      <c r="B8" s="172">
        <f t="shared" si="2"/>
        <v>1.4000000000000004</v>
      </c>
      <c r="C8" s="173" t="str">
        <f>+IF(B8="","",VLOOKUP(B8,'Planeación de ParadasRev01'!$A$3:$C$33,3))</f>
        <v>L5LUX</v>
      </c>
      <c r="D8" s="178" t="str">
        <f t="shared" si="3"/>
        <v>L5LUX</v>
      </c>
      <c r="E8" s="183">
        <f>+IF(D8="","",VLOOKUP($D8,'Planeación de ParadasRev01'!$C$3:$AA$33,E$17,FALSE))</f>
        <v>0</v>
      </c>
      <c r="F8" s="183">
        <f>+IF(E8="","",VLOOKUP($D8,'Planeación de ParadasRev01'!$C$3:$AA$33,F$17,FALSE))</f>
        <v>0</v>
      </c>
      <c r="G8" s="183">
        <f>+IF(F8="","",VLOOKUP($D8,'Planeación de ParadasRev01'!$C$3:$AA$33,G$17,FALSE))</f>
        <v>16</v>
      </c>
      <c r="H8" s="183">
        <f>+IF(G8="","",VLOOKUP($D8,'Planeación de ParadasRev01'!$C$3:$AA$33,H$17,FALSE))</f>
        <v>20</v>
      </c>
      <c r="I8" s="183">
        <f>+IF(H8="","",VLOOKUP($D8,'Planeación de ParadasRev01'!$C$3:$AA$33,I$17,FALSE))</f>
        <v>0</v>
      </c>
      <c r="J8" s="183">
        <f>+IF(I8="","",VLOOKUP($D8,'Planeación de ParadasRev01'!$C$3:$AA$33,J$17,FALSE))</f>
        <v>0</v>
      </c>
      <c r="K8" s="183">
        <f>+IF(J8="","",VLOOKUP($D8,'Planeación de ParadasRev01'!$C$3:$AA$33,K$17,FALSE))</f>
        <v>0</v>
      </c>
      <c r="L8" s="183">
        <f>+IF(K8="","",VLOOKUP($D8,'Planeación de ParadasRev01'!$C$3:$AA$33,L$17,FALSE))</f>
        <v>0</v>
      </c>
      <c r="M8" s="183">
        <f>+IF(L8="","",VLOOKUP($D8,'Planeación de ParadasRev01'!$C$3:$AA$33,M$17,FALSE))</f>
        <v>0</v>
      </c>
      <c r="N8" s="183">
        <f>+IF(M8="","",VLOOKUP($D8,'Planeación de ParadasRev01'!$C$3:$AA$33,N$17,FALSE))</f>
        <v>0</v>
      </c>
      <c r="O8" s="183">
        <f>+IF(N8="","",VLOOKUP($D8,'Planeación de ParadasRev01'!$C$3:$AA$33,O$17,FALSE))</f>
        <v>0</v>
      </c>
      <c r="P8" s="183">
        <f>+IF(O8="","",VLOOKUP($D8,'Planeación de ParadasRev01'!$C$3:$AA$33,P$17,FALSE))</f>
        <v>0</v>
      </c>
      <c r="Q8" s="183">
        <f>+IF(P8="","",VLOOKUP($D8,'Planeación de ParadasRev01'!$C$3:$AA$33,Q$17,FALSE))</f>
        <v>0</v>
      </c>
      <c r="R8" s="183">
        <f>+IF(Q8="","",VLOOKUP($D8,'Planeación de ParadasRev01'!$C$3:$AA$33,R$17,FALSE))</f>
        <v>0</v>
      </c>
      <c r="S8" s="183">
        <f>+IF(R8="","",VLOOKUP($D8,'Planeación de ParadasRev01'!$C$3:$AA$33,S$17,FALSE))</f>
        <v>10</v>
      </c>
      <c r="T8" s="183">
        <f>+IF(S8="","",VLOOKUP($D8,'Planeación de ParadasRev01'!$C$3:$AA$33,T$17,FALSE))</f>
        <v>14</v>
      </c>
      <c r="U8" s="183">
        <f>+IF(T8="","",VLOOKUP($D8,'Planeación de ParadasRev01'!$C$3:$AA$33,U$17,FALSE))</f>
        <v>0</v>
      </c>
      <c r="V8" s="183">
        <f>+IF(U8="","",VLOOKUP($D8,'Planeación de ParadasRev01'!$C$3:$AA$33,V$17,FALSE))</f>
        <v>0</v>
      </c>
      <c r="W8" s="183">
        <f>+IF(V8="","",VLOOKUP($D8,'Planeación de ParadasRev01'!$C$3:$AA$33,W$17,FALSE))</f>
        <v>0</v>
      </c>
      <c r="X8" s="183">
        <f>+IF(W8="","",VLOOKUP($D8,'Planeación de ParadasRev01'!$C$3:$AA$33,X$17,FALSE))</f>
        <v>0</v>
      </c>
      <c r="Y8" s="183">
        <f>+IF(X8="","",VLOOKUP($D8,'Planeación de ParadasRev01'!$C$3:$AA$33,Y$17,FALSE))</f>
        <v>0</v>
      </c>
      <c r="Z8" s="183">
        <f>+IF(Y8="","",VLOOKUP($D8,'Planeación de ParadasRev01'!$C$3:$AA$33,Z$17,FALSE))</f>
        <v>0</v>
      </c>
      <c r="AA8" s="183">
        <f>+IF(Z8="","",VLOOKUP($D8,'Planeación de ParadasRev01'!$C$3:$AA$33,AA$17,FALSE))</f>
        <v>0</v>
      </c>
      <c r="AB8" s="183">
        <f>+IF(AA8="","",VLOOKUP($D8,'Planeación de ParadasRev01'!$C$3:$AA$33,AB$17,FALSE))</f>
        <v>0</v>
      </c>
      <c r="AC8" s="179" t="e">
        <f t="shared" si="0"/>
        <v>#VALUE!</v>
      </c>
      <c r="AD8" s="180">
        <f t="shared" si="1"/>
        <v>0</v>
      </c>
      <c r="AE8" s="179" t="str">
        <f t="shared" si="4"/>
        <v/>
      </c>
    </row>
    <row r="9" spans="1:32" ht="30" customHeight="1" x14ac:dyDescent="0.25">
      <c r="B9" s="172">
        <f t="shared" si="2"/>
        <v>1.5000000000000004</v>
      </c>
      <c r="C9" s="173" t="str">
        <f>+IF(B9="","",VLOOKUP(B9,'Planeación de ParadasRev01'!$A$3:$C$33,3))</f>
        <v>L8LUX</v>
      </c>
      <c r="D9" s="178" t="str">
        <f t="shared" si="3"/>
        <v>L8LUX</v>
      </c>
      <c r="E9" s="183">
        <f>+IF(D9="","",VLOOKUP($D9,'Planeación de ParadasRev01'!$C$3:$AA$33,E$17,FALSE))</f>
        <v>0</v>
      </c>
      <c r="F9" s="183">
        <f>+IF(E9="","",VLOOKUP($D9,'Planeación de ParadasRev01'!$C$3:$AA$33,F$17,FALSE))</f>
        <v>0</v>
      </c>
      <c r="G9" s="183">
        <f>+IF(F9="","",VLOOKUP($D9,'Planeación de ParadasRev01'!$C$3:$AA$33,G$17,FALSE))</f>
        <v>0</v>
      </c>
      <c r="H9" s="183">
        <f>+IF(G9="","",VLOOKUP($D9,'Planeación de ParadasRev01'!$C$3:$AA$33,H$17,FALSE))</f>
        <v>0</v>
      </c>
      <c r="I9" s="183">
        <f>+IF(H9="","",VLOOKUP($D9,'Planeación de ParadasRev01'!$C$3:$AA$33,I$17,FALSE))</f>
        <v>2</v>
      </c>
      <c r="J9" s="183">
        <f>+IF(I9="","",VLOOKUP($D9,'Planeación de ParadasRev01'!$C$3:$AA$33,J$17,FALSE))</f>
        <v>10</v>
      </c>
      <c r="K9" s="183">
        <f>+IF(J9="","",VLOOKUP($D9,'Planeación de ParadasRev01'!$C$3:$AA$33,K$17,FALSE))</f>
        <v>0</v>
      </c>
      <c r="L9" s="183">
        <f>+IF(K9="","",VLOOKUP($D9,'Planeación de ParadasRev01'!$C$3:$AA$33,L$17,FALSE))</f>
        <v>0</v>
      </c>
      <c r="M9" s="183">
        <f>+IF(L9="","",VLOOKUP($D9,'Planeación de ParadasRev01'!$C$3:$AA$33,M$17,FALSE))</f>
        <v>0</v>
      </c>
      <c r="N9" s="183">
        <f>+IF(M9="","",VLOOKUP($D9,'Planeación de ParadasRev01'!$C$3:$AA$33,N$17,FALSE))</f>
        <v>0</v>
      </c>
      <c r="O9" s="183">
        <f>+IF(N9="","",VLOOKUP($D9,'Planeación de ParadasRev01'!$C$3:$AA$33,O$17,FALSE))</f>
        <v>0</v>
      </c>
      <c r="P9" s="183">
        <f>+IF(O9="","",VLOOKUP($D9,'Planeación de ParadasRev01'!$C$3:$AA$33,P$17,FALSE))</f>
        <v>0</v>
      </c>
      <c r="Q9" s="183">
        <f>+IF(P9="","",VLOOKUP($D9,'Planeación de ParadasRev01'!$C$3:$AA$33,Q$17,FALSE))</f>
        <v>0</v>
      </c>
      <c r="R9" s="183">
        <f>+IF(Q9="","",VLOOKUP($D9,'Planeación de ParadasRev01'!$C$3:$AA$33,R$17,FALSE))</f>
        <v>0</v>
      </c>
      <c r="S9" s="183">
        <f>+IF(R9="","",VLOOKUP($D9,'Planeación de ParadasRev01'!$C$3:$AA$33,S$17,FALSE))</f>
        <v>0</v>
      </c>
      <c r="T9" s="183">
        <f>+IF(S9="","",VLOOKUP($D9,'Planeación de ParadasRev01'!$C$3:$AA$33,T$17,FALSE))</f>
        <v>0</v>
      </c>
      <c r="U9" s="183">
        <f>+IF(T9="","",VLOOKUP($D9,'Planeación de ParadasRev01'!$C$3:$AA$33,U$17,FALSE))</f>
        <v>0</v>
      </c>
      <c r="V9" s="183">
        <f>+IF(U9="","",VLOOKUP($D9,'Planeación de ParadasRev01'!$C$3:$AA$33,V$17,FALSE))</f>
        <v>0</v>
      </c>
      <c r="W9" s="183">
        <f>+IF(V9="","",VLOOKUP($D9,'Planeación de ParadasRev01'!$C$3:$AA$33,W$17,FALSE))</f>
        <v>0</v>
      </c>
      <c r="X9" s="183">
        <f>+IF(W9="","",VLOOKUP($D9,'Planeación de ParadasRev01'!$C$3:$AA$33,X$17,FALSE))</f>
        <v>0</v>
      </c>
      <c r="Y9" s="183">
        <f>+IF(X9="","",VLOOKUP($D9,'Planeación de ParadasRev01'!$C$3:$AA$33,Y$17,FALSE))</f>
        <v>0</v>
      </c>
      <c r="Z9" s="183">
        <f>+IF(Y9="","",VLOOKUP($D9,'Planeación de ParadasRev01'!$C$3:$AA$33,Z$17,FALSE))</f>
        <v>0</v>
      </c>
      <c r="AA9" s="183">
        <f>+IF(Z9="","",VLOOKUP($D9,'Planeación de ParadasRev01'!$C$3:$AA$33,AA$17,FALSE))</f>
        <v>0</v>
      </c>
      <c r="AB9" s="183">
        <f>+IF(AA9="","",VLOOKUP($D9,'Planeación de ParadasRev01'!$C$3:$AA$33,AB$17,FALSE))</f>
        <v>0</v>
      </c>
      <c r="AC9" s="179" t="e">
        <f t="shared" si="0"/>
        <v>#VALUE!</v>
      </c>
      <c r="AD9" s="180">
        <f t="shared" si="1"/>
        <v>0</v>
      </c>
      <c r="AE9" s="179" t="str">
        <f t="shared" si="4"/>
        <v/>
      </c>
    </row>
    <row r="10" spans="1:32" ht="30" customHeight="1" x14ac:dyDescent="0.25">
      <c r="B10" s="172">
        <f t="shared" si="2"/>
        <v>1.6000000000000005</v>
      </c>
      <c r="C10" s="173" t="str">
        <f>+IF(B10="","",VLOOKUP(B10,'Planeación de ParadasRev01'!$A$3:$C$33,3))</f>
        <v>L9LUX</v>
      </c>
      <c r="D10" s="178" t="str">
        <f t="shared" si="3"/>
        <v>L9LUX</v>
      </c>
      <c r="E10" s="183">
        <f>+IF(D10="","",VLOOKUP($D10,'Planeación de ParadasRev01'!$C$3:$AA$33,E$17,FALSE))</f>
        <v>0</v>
      </c>
      <c r="F10" s="183">
        <f>+IF(E10="","",VLOOKUP($D10,'Planeación de ParadasRev01'!$C$3:$AA$33,F$17,FALSE))</f>
        <v>0</v>
      </c>
      <c r="G10" s="183">
        <f>+IF(F10="","",VLOOKUP($D10,'Planeación de ParadasRev01'!$C$3:$AA$33,G$17,FALSE))</f>
        <v>0</v>
      </c>
      <c r="H10" s="183">
        <f>+IF(G10="","",VLOOKUP($D10,'Planeación de ParadasRev01'!$C$3:$AA$33,H$17,FALSE))</f>
        <v>0</v>
      </c>
      <c r="I10" s="183">
        <f>+IF(H10="","",VLOOKUP($D10,'Planeación de ParadasRev01'!$C$3:$AA$33,I$17,FALSE))</f>
        <v>0</v>
      </c>
      <c r="J10" s="183">
        <f>+IF(I10="","",VLOOKUP($D10,'Planeación de ParadasRev01'!$C$3:$AA$33,J$17,FALSE))</f>
        <v>0</v>
      </c>
      <c r="K10" s="183">
        <f>+IF(J10="","",VLOOKUP($D10,'Planeación de ParadasRev01'!$C$3:$AA$33,K$17,FALSE))</f>
        <v>0</v>
      </c>
      <c r="L10" s="183">
        <f>+IF(K10="","",VLOOKUP($D10,'Planeación de ParadasRev01'!$C$3:$AA$33,L$17,FALSE))</f>
        <v>0</v>
      </c>
      <c r="M10" s="183">
        <f>+IF(L10="","",VLOOKUP($D10,'Planeación de ParadasRev01'!$C$3:$AA$33,M$17,FALSE))</f>
        <v>25</v>
      </c>
      <c r="N10" s="183">
        <f>+IF(M10="","",VLOOKUP($D10,'Planeación de ParadasRev01'!$C$3:$AA$33,N$17,FALSE))</f>
        <v>29</v>
      </c>
      <c r="O10" s="183">
        <f>+IF(N10="","",VLOOKUP($D10,'Planeación de ParadasRev01'!$C$3:$AA$33,O$17,FALSE))</f>
        <v>0</v>
      </c>
      <c r="P10" s="183">
        <f>+IF(O10="","",VLOOKUP($D10,'Planeación de ParadasRev01'!$C$3:$AA$33,P$17,FALSE))</f>
        <v>0</v>
      </c>
      <c r="Q10" s="183">
        <f>+IF(P10="","",VLOOKUP($D10,'Planeación de ParadasRev01'!$C$3:$AA$33,Q$17,FALSE))</f>
        <v>0</v>
      </c>
      <c r="R10" s="183">
        <f>+IF(Q10="","",VLOOKUP($D10,'Planeación de ParadasRev01'!$C$3:$AA$33,R$17,FALSE))</f>
        <v>0</v>
      </c>
      <c r="S10" s="183">
        <f>+IF(R10="","",VLOOKUP($D10,'Planeación de ParadasRev01'!$C$3:$AA$33,S$17,FALSE))</f>
        <v>0</v>
      </c>
      <c r="T10" s="183">
        <f>+IF(S10="","",VLOOKUP($D10,'Planeación de ParadasRev01'!$C$3:$AA$33,T$17,FALSE))</f>
        <v>0</v>
      </c>
      <c r="U10" s="183">
        <f>+IF(T10="","",VLOOKUP($D10,'Planeación de ParadasRev01'!$C$3:$AA$33,U$17,FALSE))</f>
        <v>0</v>
      </c>
      <c r="V10" s="183">
        <f>+IF(U10="","",VLOOKUP($D10,'Planeación de ParadasRev01'!$C$3:$AA$33,V$17,FALSE))</f>
        <v>0</v>
      </c>
      <c r="W10" s="183">
        <f>+IF(V10="","",VLOOKUP($D10,'Planeación de ParadasRev01'!$C$3:$AA$33,W$17,FALSE))</f>
        <v>0</v>
      </c>
      <c r="X10" s="183">
        <f>+IF(W10="","",VLOOKUP($D10,'Planeación de ParadasRev01'!$C$3:$AA$33,X$17,FALSE))</f>
        <v>0</v>
      </c>
      <c r="Y10" s="183">
        <f>+IF(X10="","",VLOOKUP($D10,'Planeación de ParadasRev01'!$C$3:$AA$33,Y$17,FALSE))</f>
        <v>24</v>
      </c>
      <c r="Z10" s="183">
        <f>+IF(Y10="","",VLOOKUP($D10,'Planeación de ParadasRev01'!$C$3:$AA$33,Z$17,FALSE))</f>
        <v>28</v>
      </c>
      <c r="AA10" s="183">
        <f>+IF(Z10="","",VLOOKUP($D10,'Planeación de ParadasRev01'!$C$3:$AA$33,AA$17,FALSE))</f>
        <v>0</v>
      </c>
      <c r="AB10" s="183">
        <f>+IF(AA10="","",VLOOKUP($D10,'Planeación de ParadasRev01'!$C$3:$AA$33,AB$17,FALSE))</f>
        <v>0</v>
      </c>
      <c r="AC10" s="179" t="e">
        <f t="shared" si="0"/>
        <v>#VALUE!</v>
      </c>
      <c r="AD10" s="180">
        <f t="shared" si="1"/>
        <v>0</v>
      </c>
      <c r="AE10" s="179" t="str">
        <f t="shared" si="4"/>
        <v/>
      </c>
    </row>
    <row r="11" spans="1:32" ht="30" customHeight="1" x14ac:dyDescent="0.25">
      <c r="B11" s="172">
        <f t="shared" si="2"/>
        <v>1.7000000000000006</v>
      </c>
      <c r="C11" s="173" t="str">
        <f>+IF(B11="","",VLOOKUP(B11,'Planeación de ParadasRev01'!$A$3:$C$33,3))</f>
        <v>L10 LUX</v>
      </c>
      <c r="D11" s="178" t="str">
        <f t="shared" si="3"/>
        <v>L10 LUX</v>
      </c>
      <c r="E11" s="183">
        <f>+IF(D11="","",VLOOKUP($D11,'Planeación de ParadasRev01'!$C$3:$AA$33,E$17,FALSE))</f>
        <v>19</v>
      </c>
      <c r="F11" s="183">
        <f>+IF(E11="","",VLOOKUP($D11,'Planeación de ParadasRev01'!$C$3:$AA$33,F$17,FALSE))</f>
        <v>23</v>
      </c>
      <c r="G11" s="183">
        <f>+IF(F11="","",VLOOKUP($D11,'Planeación de ParadasRev01'!$C$3:$AA$33,G$17,FALSE))</f>
        <v>0</v>
      </c>
      <c r="H11" s="183">
        <f>+IF(G11="","",VLOOKUP($D11,'Planeación de ParadasRev01'!$C$3:$AA$33,H$17,FALSE))</f>
        <v>0</v>
      </c>
      <c r="I11" s="183">
        <f>+IF(H11="","",VLOOKUP($D11,'Planeación de ParadasRev01'!$C$3:$AA$33,I$17,FALSE))</f>
        <v>0</v>
      </c>
      <c r="J11" s="183">
        <f>+IF(I11="","",VLOOKUP($D11,'Planeación de ParadasRev01'!$C$3:$AA$33,J$17,FALSE))</f>
        <v>0</v>
      </c>
      <c r="K11" s="183">
        <f>+IF(J11="","",VLOOKUP($D11,'Planeación de ParadasRev01'!$C$3:$AA$33,K$17,FALSE))</f>
        <v>0</v>
      </c>
      <c r="L11" s="183">
        <f>+IF(K11="","",VLOOKUP($D11,'Planeación de ParadasRev01'!$C$3:$AA$33,L$17,FALSE))</f>
        <v>0</v>
      </c>
      <c r="M11" s="183">
        <f>+IF(L11="","",VLOOKUP($D11,'Planeación de ParadasRev01'!$C$3:$AA$33,M$17,FALSE))</f>
        <v>0</v>
      </c>
      <c r="N11" s="183">
        <f>+IF(M11="","",VLOOKUP($D11,'Planeación de ParadasRev01'!$C$3:$AA$33,N$17,FALSE))</f>
        <v>0</v>
      </c>
      <c r="O11" s="183">
        <f>+IF(N11="","",VLOOKUP($D11,'Planeación de ParadasRev01'!$C$3:$AA$33,O$17,FALSE))</f>
        <v>22</v>
      </c>
      <c r="P11" s="183">
        <f>+IF(O11="","",VLOOKUP($D11,'Planeación de ParadasRev01'!$C$3:$AA$33,P$17,FALSE))</f>
        <v>27</v>
      </c>
      <c r="Q11" s="183">
        <f>+IF(P11="","",VLOOKUP($D11,'Planeación de ParadasRev01'!$C$3:$AA$33,Q$17,FALSE))</f>
        <v>0</v>
      </c>
      <c r="R11" s="183">
        <f>+IF(Q11="","",VLOOKUP($D11,'Planeación de ParadasRev01'!$C$3:$AA$33,R$17,FALSE))</f>
        <v>0</v>
      </c>
      <c r="S11" s="183">
        <f>+IF(R11="","",VLOOKUP($D11,'Planeación de ParadasRev01'!$C$3:$AA$33,S$17,FALSE))</f>
        <v>0</v>
      </c>
      <c r="T11" s="183">
        <f>+IF(S11="","",VLOOKUP($D11,'Planeación de ParadasRev01'!$C$3:$AA$33,T$17,FALSE))</f>
        <v>0</v>
      </c>
      <c r="U11" s="183">
        <f>+IF(T11="","",VLOOKUP($D11,'Planeación de ParadasRev01'!$C$3:$AA$33,U$17,FALSE))</f>
        <v>0</v>
      </c>
      <c r="V11" s="183">
        <f>+IF(U11="","",VLOOKUP($D11,'Planeación de ParadasRev01'!$C$3:$AA$33,V$17,FALSE))</f>
        <v>0</v>
      </c>
      <c r="W11" s="183">
        <f>+IF(V11="","",VLOOKUP($D11,'Planeación de ParadasRev01'!$C$3:$AA$33,W$17,FALSE))</f>
        <v>0</v>
      </c>
      <c r="X11" s="183">
        <f>+IF(W11="","",VLOOKUP($D11,'Planeación de ParadasRev01'!$C$3:$AA$33,X$17,FALSE))</f>
        <v>0</v>
      </c>
      <c r="Y11" s="183">
        <f>+IF(X11="","",VLOOKUP($D11,'Planeación de ParadasRev01'!$C$3:$AA$33,Y$17,FALSE))</f>
        <v>0</v>
      </c>
      <c r="Z11" s="183">
        <f>+IF(Y11="","",VLOOKUP($D11,'Planeación de ParadasRev01'!$C$3:$AA$33,Z$17,FALSE))</f>
        <v>0</v>
      </c>
      <c r="AA11" s="183">
        <f>+IF(Z11="","",VLOOKUP($D11,'Planeación de ParadasRev01'!$C$3:$AA$33,AA$17,FALSE))</f>
        <v>0</v>
      </c>
      <c r="AB11" s="183">
        <f>+IF(AA11="","",VLOOKUP($D11,'Planeación de ParadasRev01'!$C$3:$AA$33,AB$17,FALSE))</f>
        <v>0</v>
      </c>
      <c r="AC11" s="179" t="e">
        <f t="shared" si="0"/>
        <v>#VALUE!</v>
      </c>
      <c r="AD11" s="180">
        <f t="shared" si="1"/>
        <v>0</v>
      </c>
      <c r="AE11" s="179" t="str">
        <f t="shared" si="4"/>
        <v/>
      </c>
    </row>
    <row r="12" spans="1:32" ht="30" customHeight="1" x14ac:dyDescent="0.25">
      <c r="B12" s="172">
        <f t="shared" si="2"/>
        <v>1.8000000000000007</v>
      </c>
      <c r="C12" s="173" t="str">
        <f>+IF(B12="","",VLOOKUP(B12,'Planeación de ParadasRev01'!$A$3:$C$33,3))</f>
        <v>L11LUX</v>
      </c>
      <c r="D12" s="178" t="str">
        <f t="shared" si="3"/>
        <v>L11LUX</v>
      </c>
      <c r="E12" s="183">
        <f>+IF(D12="","",VLOOKUP($D12,'Planeación de ParadasRev01'!$C$3:$AA$33,E$17,FALSE))</f>
        <v>0</v>
      </c>
      <c r="F12" s="183">
        <f>+IF(E12="","",VLOOKUP($D12,'Planeación de ParadasRev01'!$C$3:$AA$33,F$17,FALSE))</f>
        <v>0</v>
      </c>
      <c r="G12" s="183">
        <f>+IF(F12="","",VLOOKUP($D12,'Planeación de ParadasRev01'!$C$3:$AA$33,G$17,FALSE))</f>
        <v>0</v>
      </c>
      <c r="H12" s="183">
        <f>+IF(G12="","",VLOOKUP($D12,'Planeación de ParadasRev01'!$C$3:$AA$33,H$17,FALSE))</f>
        <v>0</v>
      </c>
      <c r="I12" s="183">
        <f>+IF(H12="","",VLOOKUP($D12,'Planeación de ParadasRev01'!$C$3:$AA$33,I$17,FALSE))</f>
        <v>0</v>
      </c>
      <c r="J12" s="183">
        <f>+IF(I12="","",VLOOKUP($D12,'Planeación de ParadasRev01'!$C$3:$AA$33,J$17,FALSE))</f>
        <v>0</v>
      </c>
      <c r="K12" s="183">
        <f>+IF(J12="","",VLOOKUP($D12,'Planeación de ParadasRev01'!$C$3:$AA$33,K$17,FALSE))</f>
        <v>13</v>
      </c>
      <c r="L12" s="183">
        <f>+IF(K12="","",VLOOKUP($D12,'Planeación de ParadasRev01'!$C$3:$AA$33,L$17,FALSE))</f>
        <v>17</v>
      </c>
      <c r="M12" s="183">
        <f>+IF(L12="","",VLOOKUP($D12,'Planeación de ParadasRev01'!$C$3:$AA$33,M$17,FALSE))</f>
        <v>0</v>
      </c>
      <c r="N12" s="183">
        <f>+IF(M12="","",VLOOKUP($D12,'Planeación de ParadasRev01'!$C$3:$AA$33,N$17,FALSE))</f>
        <v>0</v>
      </c>
      <c r="O12" s="183">
        <f>+IF(N12="","",VLOOKUP($D12,'Planeación de ParadasRev01'!$C$3:$AA$33,O$17,FALSE))</f>
        <v>0</v>
      </c>
      <c r="P12" s="183">
        <f>+IF(O12="","",VLOOKUP($D12,'Planeación de ParadasRev01'!$C$3:$AA$33,P$17,FALSE))</f>
        <v>0</v>
      </c>
      <c r="Q12" s="183">
        <f>+IF(P12="","",VLOOKUP($D12,'Planeación de ParadasRev01'!$C$3:$AA$33,Q$17,FALSE))</f>
        <v>0</v>
      </c>
      <c r="R12" s="183">
        <f>+IF(Q12="","",VLOOKUP($D12,'Planeación de ParadasRev01'!$C$3:$AA$33,R$17,FALSE))</f>
        <v>0</v>
      </c>
      <c r="S12" s="183">
        <f>+IF(R12="","",VLOOKUP($D12,'Planeación de ParadasRev01'!$C$3:$AA$33,S$17,FALSE))</f>
        <v>0</v>
      </c>
      <c r="T12" s="183">
        <f>+IF(S12="","",VLOOKUP($D12,'Planeación de ParadasRev01'!$C$3:$AA$33,T$17,FALSE))</f>
        <v>0</v>
      </c>
      <c r="U12" s="183">
        <f>+IF(T12="","",VLOOKUP($D12,'Planeación de ParadasRev01'!$C$3:$AA$33,U$17,FALSE))</f>
        <v>0</v>
      </c>
      <c r="V12" s="183">
        <f>+IF(U12="","",VLOOKUP($D12,'Planeación de ParadasRev01'!$C$3:$AA$33,V$17,FALSE))</f>
        <v>0</v>
      </c>
      <c r="W12" s="183">
        <f>+IF(V12="","",VLOOKUP($D12,'Planeación de ParadasRev01'!$C$3:$AA$33,W$17,FALSE))</f>
        <v>19</v>
      </c>
      <c r="X12" s="183">
        <f>+IF(W12="","",VLOOKUP($D12,'Planeación de ParadasRev01'!$C$3:$AA$33,X$17,FALSE))</f>
        <v>23</v>
      </c>
      <c r="Y12" s="183">
        <f>+IF(X12="","",VLOOKUP($D12,'Planeación de ParadasRev01'!$C$3:$AA$33,Y$17,FALSE))</f>
        <v>0</v>
      </c>
      <c r="Z12" s="183">
        <f>+IF(Y12="","",VLOOKUP($D12,'Planeación de ParadasRev01'!$C$3:$AA$33,Z$17,FALSE))</f>
        <v>0</v>
      </c>
      <c r="AA12" s="183">
        <f>+IF(Z12="","",VLOOKUP($D12,'Planeación de ParadasRev01'!$C$3:$AA$33,AA$17,FALSE))</f>
        <v>0</v>
      </c>
      <c r="AB12" s="183">
        <f>+IF(AA12="","",VLOOKUP($D12,'Planeación de ParadasRev01'!$C$3:$AA$33,AB$17,FALSE))</f>
        <v>0</v>
      </c>
      <c r="AC12" s="179" t="e">
        <f t="shared" si="0"/>
        <v>#VALUE!</v>
      </c>
      <c r="AD12" s="180">
        <f t="shared" si="1"/>
        <v>0</v>
      </c>
      <c r="AE12" s="179" t="str">
        <f t="shared" si="4"/>
        <v/>
      </c>
    </row>
    <row r="13" spans="1:32" ht="30" customHeight="1" x14ac:dyDescent="0.25">
      <c r="B13" s="172">
        <f t="shared" si="2"/>
        <v>1.9000000000000008</v>
      </c>
      <c r="C13" s="173" t="str">
        <f>+IF(B13="","",VLOOKUP(B13,'Planeación de ParadasRev01'!$A$3:$C$33,3))</f>
        <v>L12LUX</v>
      </c>
      <c r="D13" s="178" t="str">
        <f t="shared" si="3"/>
        <v>L12LUX</v>
      </c>
      <c r="E13" s="183">
        <f>+IF(D13="","",VLOOKUP($D13,'Planeación de ParadasRev01'!$C$3:$AA$33,E$17,FALSE))</f>
        <v>0</v>
      </c>
      <c r="F13" s="183">
        <f>+IF(E13="","",VLOOKUP($D13,'Planeación de ParadasRev01'!$C$3:$AA$33,F$17,FALSE))</f>
        <v>0</v>
      </c>
      <c r="G13" s="183">
        <f>+IF(F13="","",VLOOKUP($D13,'Planeación de ParadasRev01'!$C$3:$AA$33,G$17,FALSE))</f>
        <v>0</v>
      </c>
      <c r="H13" s="183">
        <f>+IF(G13="","",VLOOKUP($D13,'Planeación de ParadasRev01'!$C$3:$AA$33,H$17,FALSE))</f>
        <v>0</v>
      </c>
      <c r="I13" s="183">
        <f>+IF(H13="","",VLOOKUP($D13,'Planeación de ParadasRev01'!$C$3:$AA$33,I$17,FALSE))</f>
        <v>0</v>
      </c>
      <c r="J13" s="183">
        <f>+IF(I13="","",VLOOKUP($D13,'Planeación de ParadasRev01'!$C$3:$AA$33,J$17,FALSE))</f>
        <v>0</v>
      </c>
      <c r="K13" s="183">
        <f>+IF(J13="","",VLOOKUP($D13,'Planeación de ParadasRev01'!$C$3:$AA$33,K$17,FALSE))</f>
        <v>0</v>
      </c>
      <c r="L13" s="183">
        <f>+IF(K13="","",VLOOKUP($D13,'Planeación de ParadasRev01'!$C$3:$AA$33,L$17,FALSE))</f>
        <v>0</v>
      </c>
      <c r="M13" s="183">
        <f>+IF(L13="","",VLOOKUP($D13,'Planeación de ParadasRev01'!$C$3:$AA$33,M$17,FALSE))</f>
        <v>11</v>
      </c>
      <c r="N13" s="183">
        <f>+IF(M13="","",VLOOKUP($D13,'Planeación de ParadasRev01'!$C$3:$AA$33,N$17,FALSE))</f>
        <v>15</v>
      </c>
      <c r="O13" s="183">
        <f>+IF(N13="","",VLOOKUP($D13,'Planeación de ParadasRev01'!$C$3:$AA$33,O$17,FALSE))</f>
        <v>0</v>
      </c>
      <c r="P13" s="183">
        <f>+IF(O13="","",VLOOKUP($D13,'Planeación de ParadasRev01'!$C$3:$AA$33,P$17,FALSE))</f>
        <v>0</v>
      </c>
      <c r="Q13" s="183">
        <f>+IF(P13="","",VLOOKUP($D13,'Planeación de ParadasRev01'!$C$3:$AA$33,Q$17,FALSE))</f>
        <v>0</v>
      </c>
      <c r="R13" s="183">
        <f>+IF(Q13="","",VLOOKUP($D13,'Planeación de ParadasRev01'!$C$3:$AA$33,R$17,FALSE))</f>
        <v>0</v>
      </c>
      <c r="S13" s="183">
        <f>+IF(R13="","",VLOOKUP($D13,'Planeación de ParadasRev01'!$C$3:$AA$33,S$17,FALSE))</f>
        <v>0</v>
      </c>
      <c r="T13" s="183">
        <f>+IF(S13="","",VLOOKUP($D13,'Planeación de ParadasRev01'!$C$3:$AA$33,T$17,FALSE))</f>
        <v>0</v>
      </c>
      <c r="U13" s="183">
        <f>+IF(T13="","",VLOOKUP($D13,'Planeación de ParadasRev01'!$C$3:$AA$33,U$17,FALSE))</f>
        <v>0</v>
      </c>
      <c r="V13" s="183">
        <f>+IF(U13="","",VLOOKUP($D13,'Planeación de ParadasRev01'!$C$3:$AA$33,V$17,FALSE))</f>
        <v>0</v>
      </c>
      <c r="W13" s="183">
        <f>+IF(V13="","",VLOOKUP($D13,'Planeación de ParadasRev01'!$C$3:$AA$33,W$17,FALSE))</f>
        <v>0</v>
      </c>
      <c r="X13" s="183">
        <f>+IF(W13="","",VLOOKUP($D13,'Planeación de ParadasRev01'!$C$3:$AA$33,X$17,FALSE))</f>
        <v>0</v>
      </c>
      <c r="Y13" s="183">
        <f>+IF(X13="","",VLOOKUP($D13,'Planeación de ParadasRev01'!$C$3:$AA$33,Y$17,FALSE))</f>
        <v>9</v>
      </c>
      <c r="Z13" s="183">
        <f>+IF(Y13="","",VLOOKUP($D13,'Planeación de ParadasRev01'!$C$3:$AA$33,Z$17,FALSE))</f>
        <v>13</v>
      </c>
      <c r="AA13" s="183">
        <f>+IF(Z13="","",VLOOKUP($D13,'Planeación de ParadasRev01'!$C$3:$AA$33,AA$17,FALSE))</f>
        <v>0</v>
      </c>
      <c r="AB13" s="183">
        <f>+IF(AA13="","",VLOOKUP($D13,'Planeación de ParadasRev01'!$C$3:$AA$33,AB$17,FALSE))</f>
        <v>0</v>
      </c>
      <c r="AC13" s="179" t="e">
        <f t="shared" si="0"/>
        <v>#VALUE!</v>
      </c>
      <c r="AD13" s="180">
        <f t="shared" si="1"/>
        <v>0</v>
      </c>
      <c r="AE13" s="179" t="str">
        <f t="shared" si="4"/>
        <v/>
      </c>
    </row>
    <row r="14" spans="1:32" ht="30" customHeight="1" x14ac:dyDescent="0.25">
      <c r="AC14" s="181" t="e">
        <f t="shared" si="0"/>
        <v>#VALUE!</v>
      </c>
      <c r="AD14" s="180">
        <f t="shared" si="1"/>
        <v>0</v>
      </c>
    </row>
    <row r="15" spans="1:32" ht="30" customHeight="1" x14ac:dyDescent="0.25">
      <c r="AC15" s="181" t="e">
        <f t="shared" si="0"/>
        <v>#VALUE!</v>
      </c>
      <c r="AD15" s="180">
        <f t="shared" si="1"/>
        <v>0</v>
      </c>
    </row>
    <row r="16" spans="1:32" ht="30" hidden="1" customHeight="1" x14ac:dyDescent="0.25">
      <c r="C16" s="172"/>
      <c r="D16" s="172"/>
      <c r="AC16" s="172" t="e">
        <f t="shared" si="0"/>
        <v>#VALUE!</v>
      </c>
      <c r="AD16" s="180">
        <f t="shared" si="1"/>
        <v>0</v>
      </c>
      <c r="AE16" s="171">
        <f>+IFERROR((F4-E4)+(H4-G4)+(J4-I4)+(L4-K4)+(N4-M4)+(P4-O4)+(R4-Q4)+(T4-S4)+(V4-U4)+(X4-W4)+(Z4-Y4)+(AB4-AA4),"")+COUNTIF(E4:AB4,"&gt;0")/2</f>
        <v>10</v>
      </c>
      <c r="AF16" s="172">
        <f>+(COUNTIFS(E4:AB4,"&gt;0",E4:AB4,"=0"))</f>
        <v>0</v>
      </c>
    </row>
    <row r="17" spans="3:31" ht="30" hidden="1" customHeight="1" x14ac:dyDescent="0.25">
      <c r="C17" s="172"/>
      <c r="D17" s="172"/>
      <c r="E17" s="172">
        <v>2</v>
      </c>
      <c r="F17" s="172">
        <v>3</v>
      </c>
      <c r="G17" s="172">
        <v>4</v>
      </c>
      <c r="H17" s="172">
        <v>5</v>
      </c>
      <c r="I17" s="172">
        <v>6</v>
      </c>
      <c r="J17" s="172">
        <v>7</v>
      </c>
      <c r="K17" s="172">
        <v>8</v>
      </c>
      <c r="L17" s="172">
        <v>9</v>
      </c>
      <c r="M17" s="172">
        <v>10</v>
      </c>
      <c r="N17" s="172">
        <v>11</v>
      </c>
      <c r="O17" s="172">
        <v>12</v>
      </c>
      <c r="P17" s="172">
        <v>13</v>
      </c>
      <c r="Q17" s="172">
        <v>14</v>
      </c>
      <c r="R17" s="172">
        <v>15</v>
      </c>
      <c r="S17" s="172">
        <v>16</v>
      </c>
      <c r="T17" s="172">
        <v>17</v>
      </c>
      <c r="U17" s="172">
        <v>18</v>
      </c>
      <c r="V17" s="172">
        <v>19</v>
      </c>
      <c r="W17" s="172">
        <v>20</v>
      </c>
      <c r="X17" s="172">
        <v>21</v>
      </c>
      <c r="Y17" s="172">
        <v>22</v>
      </c>
      <c r="Z17" s="172">
        <v>23</v>
      </c>
      <c r="AA17" s="172">
        <v>24</v>
      </c>
      <c r="AB17" s="172">
        <v>25</v>
      </c>
      <c r="AC17" s="172" t="e">
        <f t="shared" si="0"/>
        <v>#VALUE!</v>
      </c>
      <c r="AD17" s="180">
        <f t="shared" si="1"/>
        <v>0</v>
      </c>
      <c r="AE17" s="171">
        <f>+IFERROR((F5-E5)+(H5-G5)+(J5-I5)+(L5-K5)+(N5-M5)+(P5-O5)+(R5-Q5)+(T5-S5)+(V5-U5)+(X5-W5)+(Z5-Y5)+(AB5-AA5),"")</f>
        <v>7</v>
      </c>
    </row>
    <row r="18" spans="3:31" ht="30" hidden="1" customHeight="1" x14ac:dyDescent="0.25">
      <c r="C18" s="172"/>
      <c r="D18" s="172"/>
      <c r="AC18" s="172" t="e">
        <f t="shared" si="0"/>
        <v>#VALUE!</v>
      </c>
      <c r="AD18" s="180">
        <f t="shared" si="1"/>
        <v>0</v>
      </c>
    </row>
    <row r="19" spans="3:31" ht="30" hidden="1" customHeight="1" x14ac:dyDescent="0.25">
      <c r="AC19" s="172" t="e">
        <f t="shared" si="0"/>
        <v>#VALUE!</v>
      </c>
      <c r="AD19" s="180">
        <f t="shared" si="1"/>
        <v>0</v>
      </c>
    </row>
    <row r="20" spans="3:31" ht="30" hidden="1" customHeight="1" x14ac:dyDescent="0.25">
      <c r="AC20" s="172" t="e">
        <f t="shared" si="0"/>
        <v>#VALUE!</v>
      </c>
      <c r="AD20" s="180">
        <f t="shared" si="1"/>
        <v>0</v>
      </c>
    </row>
    <row r="21" spans="3:31" ht="30" customHeight="1" x14ac:dyDescent="0.25">
      <c r="AC21" s="172" t="e">
        <f t="shared" si="0"/>
        <v>#VALUE!</v>
      </c>
      <c r="AD21" s="180">
        <f t="shared" si="1"/>
        <v>0</v>
      </c>
    </row>
    <row r="22" spans="3:31" ht="30" customHeight="1" x14ac:dyDescent="0.25">
      <c r="AC22" s="172" t="e">
        <f t="shared" si="0"/>
        <v>#VALUE!</v>
      </c>
      <c r="AD22" s="180">
        <f t="shared" si="1"/>
        <v>0</v>
      </c>
    </row>
    <row r="23" spans="3:31" ht="30" customHeight="1" x14ac:dyDescent="0.25">
      <c r="AC23" s="172" t="e">
        <f t="shared" si="0"/>
        <v>#VALUE!</v>
      </c>
      <c r="AD23" s="180">
        <f t="shared" si="1"/>
        <v>0</v>
      </c>
    </row>
    <row r="24" spans="3:31" ht="30" customHeight="1" x14ac:dyDescent="0.25">
      <c r="AC24" s="172" t="e">
        <f t="shared" si="0"/>
        <v>#VALUE!</v>
      </c>
      <c r="AD24" s="180">
        <f t="shared" si="1"/>
        <v>0</v>
      </c>
    </row>
    <row r="25" spans="3:31" ht="30" customHeight="1" x14ac:dyDescent="0.25">
      <c r="AC25" s="172" t="e">
        <f t="shared" si="0"/>
        <v>#VALUE!</v>
      </c>
      <c r="AD25" s="180">
        <f t="shared" si="1"/>
        <v>0</v>
      </c>
    </row>
    <row r="26" spans="3:31" ht="30" customHeight="1" x14ac:dyDescent="0.25">
      <c r="AC26" s="172" t="e">
        <f t="shared" si="0"/>
        <v>#VALUE!</v>
      </c>
      <c r="AD26" s="180">
        <f t="shared" si="1"/>
        <v>0</v>
      </c>
    </row>
    <row r="27" spans="3:31" ht="30" customHeight="1" x14ac:dyDescent="0.25">
      <c r="AC27" s="172" t="e">
        <f t="shared" si="0"/>
        <v>#VALUE!</v>
      </c>
      <c r="AD27" s="180">
        <f t="shared" si="1"/>
        <v>0</v>
      </c>
    </row>
    <row r="28" spans="3:31" ht="30" customHeight="1" x14ac:dyDescent="0.25">
      <c r="AC28" s="172" t="e">
        <f t="shared" si="0"/>
        <v>#VALUE!</v>
      </c>
      <c r="AD28" s="180">
        <f t="shared" si="1"/>
        <v>0</v>
      </c>
    </row>
    <row r="29" spans="3:31" ht="30" customHeight="1" x14ac:dyDescent="0.25">
      <c r="AC29" s="172" t="e">
        <f t="shared" si="0"/>
        <v>#VALUE!</v>
      </c>
      <c r="AD29" s="180">
        <f t="shared" si="1"/>
        <v>0</v>
      </c>
    </row>
    <row r="30" spans="3:31" ht="30" customHeight="1" x14ac:dyDescent="0.25">
      <c r="AC30" s="172" t="e">
        <f t="shared" si="0"/>
        <v>#VALUE!</v>
      </c>
      <c r="AD30" s="180">
        <f t="shared" si="1"/>
        <v>0</v>
      </c>
    </row>
    <row r="31" spans="3:31" ht="30" customHeight="1" x14ac:dyDescent="0.25">
      <c r="AC31" s="172" t="e">
        <f t="shared" si="0"/>
        <v>#VALUE!</v>
      </c>
      <c r="AD31" s="180">
        <f t="shared" si="1"/>
        <v>0</v>
      </c>
    </row>
    <row r="32" spans="3:31" ht="30" customHeight="1" x14ac:dyDescent="0.25">
      <c r="AC32" s="172" t="e">
        <f t="shared" si="0"/>
        <v>#VALUE!</v>
      </c>
      <c r="AD32" s="180">
        <f t="shared" si="1"/>
        <v>0</v>
      </c>
    </row>
    <row r="33" spans="29:30" ht="30" customHeight="1" x14ac:dyDescent="0.25">
      <c r="AC33" s="172" t="e">
        <f t="shared" si="0"/>
        <v>#VALUE!</v>
      </c>
      <c r="AD33" s="180">
        <f t="shared" si="1"/>
        <v>0</v>
      </c>
    </row>
    <row r="34" spans="29:30" ht="30" customHeight="1" x14ac:dyDescent="0.25">
      <c r="AC34" s="172" t="e">
        <f t="shared" si="0"/>
        <v>#VALUE!</v>
      </c>
      <c r="AD34" s="180">
        <f t="shared" si="1"/>
        <v>0</v>
      </c>
    </row>
  </sheetData>
  <mergeCells count="12">
    <mergeCell ref="AA2:AB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conditionalFormatting sqref="AC4:AC15">
    <cfRule type="dataBar" priority="3">
      <dataBar>
        <cfvo type="num" val="0"/>
        <cfvo type="num" val="11"/>
        <color rgb="FF638EC6"/>
      </dataBar>
      <extLst>
        <ext xmlns:x14="http://schemas.microsoft.com/office/spreadsheetml/2009/9/main" uri="{B025F937-C7B1-47D3-B67F-A62EFF666E3E}">
          <x14:id>{E50F4842-2686-48B8-8F36-4F71C0A7A7B5}</x14:id>
        </ext>
      </extLst>
    </cfRule>
  </conditionalFormatting>
  <conditionalFormatting sqref="AE4:AE13">
    <cfRule type="dataBar" priority="2">
      <dataBar>
        <cfvo type="num" val="0"/>
        <cfvo type="num" val="14"/>
        <color rgb="FF638EC6"/>
      </dataBar>
      <extLst>
        <ext xmlns:x14="http://schemas.microsoft.com/office/spreadsheetml/2009/9/main" uri="{B025F937-C7B1-47D3-B67F-A62EFF666E3E}">
          <x14:id>{9C6C32E8-0156-4998-9A71-F5ED45E6A266}</x14:id>
        </ext>
      </extLst>
    </cfRule>
  </conditionalFormatting>
  <conditionalFormatting sqref="AF4">
    <cfRule type="iconSet" priority="1">
      <iconSet iconSet="3Symbols2">
        <cfvo type="percent" val="0"/>
        <cfvo type="percent" val="33"/>
        <cfvo type="percent" val="67"/>
      </iconSet>
    </cfRule>
  </conditionalFormatting>
  <dataValidations count="4">
    <dataValidation allowBlank="1" showInputMessage="1" showErrorMessage="1" prompt="Esta celda contiene el título de la hoja de cálculo. " sqref="D1" xr:uid="{C9EF57D5-2E1D-469B-BCB8-9680127D2250}"/>
    <dataValidation allowBlank="1" showInputMessage="1" showErrorMessage="1" prompt="Escriba el año en esta celda." sqref="AC2:AC3 AE2" xr:uid="{B04C6A23-E28D-4D52-ABBA-292052FB3C2C}"/>
    <dataValidation allowBlank="1" showInputMessage="1" showErrorMessage="1" prompt="El plan de ausencias de los empleados realiza un seguimiento por día durante cada mes. Hay 13 hojas de cálculo, 12 para los meses y la última para los nombres de los empleados. Realice un seguimiento de las ausencias de enero en esta hoja de cálculo" sqref="A1" xr:uid="{232407C0-B114-4C72-8513-68DB36B95DC8}"/>
    <dataValidation allowBlank="1" sqref="E2:E3 I2:I3 K2:K3 Q2:Q3 W2:W3 M2:M3 S2:S3 Y2:Y3 O2:O3 U2:U3 AA2:AA3 G2:G3" xr:uid="{9E17BCE9-264A-4096-B785-BCB5B1C93549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utton 7">
              <controlPr defaultSize="0" print="0" autoFill="0" autoPict="0" macro="[0]!Actualizar">
                <anchor moveWithCells="1" sizeWithCells="1">
                  <from>
                    <xdr:col>32</xdr:col>
                    <xdr:colOff>276225</xdr:colOff>
                    <xdr:row>1</xdr:row>
                    <xdr:rowOff>114300</xdr:rowOff>
                  </from>
                  <to>
                    <xdr:col>34</xdr:col>
                    <xdr:colOff>514350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0F4842-2686-48B8-8F36-4F71C0A7A7B5}">
            <x14:dataBar minLength="0" maxLength="100" gradient="0">
              <x14:cfvo type="num">
                <xm:f>0</xm:f>
              </x14:cfvo>
              <x14:cfvo type="num">
                <xm:f>11</xm:f>
              </x14:cfvo>
              <x14:negativeFillColor rgb="FFFF0000"/>
              <x14:axisColor rgb="FF000000"/>
            </x14:dataBar>
          </x14:cfRule>
          <xm:sqref>AC4:AC15</xm:sqref>
        </x14:conditionalFormatting>
        <x14:conditionalFormatting xmlns:xm="http://schemas.microsoft.com/office/excel/2006/main">
          <x14:cfRule type="dataBar" id="{9C6C32E8-0156-4998-9A71-F5ED45E6A266}">
            <x14:dataBar minLength="0" maxLength="100" gradient="0">
              <x14:cfvo type="num">
                <xm:f>0</xm:f>
              </x14:cfvo>
              <x14:cfvo type="num">
                <xm:f>14</xm:f>
              </x14:cfvo>
              <x14:negativeFillColor rgb="FFFF0000"/>
              <x14:axisColor rgb="FF000000"/>
            </x14:dataBar>
          </x14:cfRule>
          <xm:sqref>AE4:AE13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99590A-543B-4F2D-BFB6-3BFCDCBEC87A}">
          <x14:formula1>
            <xm:f>Hoja4!$A$2:$A$12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C69D-A65D-465B-8B20-126C92653BE1}">
  <sheetPr codeName="Hoja3"/>
  <dimension ref="A1:AC10000"/>
  <sheetViews>
    <sheetView showGridLines="0" topLeftCell="B1" zoomScale="84" zoomScaleNormal="45" zoomScaleSheetLayoutView="90" workbookViewId="0">
      <selection activeCell="F17" sqref="F17"/>
    </sheetView>
  </sheetViews>
  <sheetFormatPr baseColWidth="10" defaultColWidth="11.5703125" defaultRowHeight="15" x14ac:dyDescent="0.25"/>
  <cols>
    <col min="1" max="1" width="142.7109375" style="182" hidden="1" customWidth="1"/>
    <col min="2" max="2" width="22.7109375" style="182" bestFit="1" customWidth="1"/>
    <col min="3" max="3" width="12.85546875" style="182" bestFit="1" customWidth="1"/>
    <col min="4" max="4" width="25" style="182" bestFit="1" customWidth="1"/>
    <col min="5" max="5" width="23.7109375" style="182" customWidth="1"/>
    <col min="6" max="6" width="29.7109375" style="263" customWidth="1"/>
    <col min="7" max="7" width="14.28515625" style="182" bestFit="1" customWidth="1"/>
    <col min="8" max="8" width="46.85546875" style="182" customWidth="1"/>
    <col min="9" max="9" width="24.5703125" style="182" bestFit="1" customWidth="1"/>
    <col min="10" max="10" width="61" style="182" customWidth="1"/>
    <col min="11" max="11" width="15.7109375" style="182" customWidth="1"/>
    <col min="12" max="12" width="29.42578125" style="182" customWidth="1"/>
    <col min="13" max="13" width="29.28515625" style="182" customWidth="1"/>
    <col min="14" max="14" width="24.7109375" style="182" bestFit="1" customWidth="1"/>
    <col min="15" max="15" width="16.5703125" style="182" bestFit="1" customWidth="1"/>
    <col min="16" max="16" width="14.140625" style="182" bestFit="1" customWidth="1"/>
    <col min="17" max="17" width="24.28515625" style="182" bestFit="1" customWidth="1"/>
    <col min="18" max="18" width="20.28515625" style="182" bestFit="1" customWidth="1"/>
    <col min="19" max="19" width="26.7109375" style="182" bestFit="1" customWidth="1"/>
    <col min="20" max="16384" width="11.5703125" style="182"/>
  </cols>
  <sheetData>
    <row r="1" spans="1:29" ht="30" x14ac:dyDescent="0.25">
      <c r="B1" s="284" t="s">
        <v>138</v>
      </c>
      <c r="C1" s="284"/>
      <c r="D1" s="284"/>
      <c r="E1" s="284"/>
      <c r="F1" s="261" t="s">
        <v>139</v>
      </c>
      <c r="G1" s="285" t="s">
        <v>140</v>
      </c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</row>
    <row r="2" spans="1:29" x14ac:dyDescent="0.25">
      <c r="A2" s="182" t="s">
        <v>141</v>
      </c>
      <c r="B2" s="161" t="s">
        <v>24</v>
      </c>
      <c r="C2" s="162" t="s">
        <v>142</v>
      </c>
      <c r="D2" s="162" t="s">
        <v>143</v>
      </c>
      <c r="E2" s="162" t="s">
        <v>144</v>
      </c>
      <c r="F2" s="262" t="s">
        <v>145</v>
      </c>
      <c r="G2" s="258" t="s">
        <v>21</v>
      </c>
      <c r="H2" s="258" t="s">
        <v>146</v>
      </c>
      <c r="I2" s="258" t="s">
        <v>147</v>
      </c>
      <c r="J2" s="259" t="s">
        <v>148</v>
      </c>
      <c r="K2" s="259" t="s">
        <v>149</v>
      </c>
      <c r="L2" s="259" t="s">
        <v>150</v>
      </c>
      <c r="M2" s="259" t="s">
        <v>151</v>
      </c>
      <c r="N2" s="259" t="s">
        <v>152</v>
      </c>
      <c r="O2" s="259" t="s">
        <v>153</v>
      </c>
      <c r="P2" s="259" t="s">
        <v>314</v>
      </c>
      <c r="Q2" s="259" t="s">
        <v>310</v>
      </c>
      <c r="R2" s="259" t="s">
        <v>312</v>
      </c>
      <c r="S2" s="259" t="s">
        <v>313</v>
      </c>
    </row>
    <row r="3" spans="1:29" customFormat="1" x14ac:dyDescent="0.25">
      <c r="B3" t="s">
        <v>154</v>
      </c>
      <c r="C3" t="str" cm="1">
        <f t="array" aca="1" ref="C3:C12" ca="1">INDIRECT(B3)</f>
        <v>LIN1LUX</v>
      </c>
      <c r="D3" s="186"/>
      <c r="F3" s="266" t="s">
        <v>338</v>
      </c>
      <c r="G3" t="s">
        <v>340</v>
      </c>
      <c r="H3" t="s">
        <v>339</v>
      </c>
      <c r="I3" s="268" t="s">
        <v>311</v>
      </c>
      <c r="J3" t="s">
        <v>674</v>
      </c>
      <c r="K3" t="str">
        <f>IF(J3="","",IF(T3="@11\QBorrado@","Borrado",""))</f>
        <v/>
      </c>
      <c r="L3" t="s">
        <v>336</v>
      </c>
      <c r="M3" t="s">
        <v>335</v>
      </c>
      <c r="N3" t="s">
        <v>341</v>
      </c>
      <c r="O3" s="265">
        <v>1</v>
      </c>
      <c r="P3">
        <v>21</v>
      </c>
      <c r="Q3" t="s">
        <v>342</v>
      </c>
    </row>
    <row r="4" spans="1:29" customFormat="1" x14ac:dyDescent="0.25">
      <c r="C4" t="str">
        <f ca="1"/>
        <v>LIN2LUX</v>
      </c>
      <c r="F4" s="266"/>
      <c r="G4" t="s">
        <v>340</v>
      </c>
      <c r="H4" t="s">
        <v>343</v>
      </c>
      <c r="I4" s="268" t="s">
        <v>311</v>
      </c>
      <c r="J4" t="s">
        <v>675</v>
      </c>
      <c r="K4" t="str">
        <f t="shared" ref="K4:K42" si="0">IF(J4="","",IF(T4="@11\QBorrado@","Borrado",""))</f>
        <v/>
      </c>
      <c r="L4" t="s">
        <v>336</v>
      </c>
      <c r="M4" t="s">
        <v>335</v>
      </c>
      <c r="N4" t="s">
        <v>344</v>
      </c>
      <c r="O4" s="265">
        <v>2</v>
      </c>
      <c r="P4">
        <v>21</v>
      </c>
      <c r="Q4" t="s">
        <v>342</v>
      </c>
      <c r="T4" s="260"/>
      <c r="AB4" t="e">
        <f t="shared" ref="AB4:AB34" si="1">SumaDiferenciasConColor(A4:AA4)</f>
        <v>#VALUE!</v>
      </c>
      <c r="AC4">
        <f t="shared" ref="AC4:AC34" si="2">ContarSinColor(E4:AA4)</f>
        <v>0</v>
      </c>
    </row>
    <row r="5" spans="1:29" customFormat="1" x14ac:dyDescent="0.25">
      <c r="C5" t="str">
        <f ca="1"/>
        <v>L3LUX</v>
      </c>
      <c r="F5" s="266"/>
      <c r="G5" t="s">
        <v>340</v>
      </c>
      <c r="H5" t="s">
        <v>345</v>
      </c>
      <c r="I5" s="268" t="s">
        <v>311</v>
      </c>
      <c r="J5" t="s">
        <v>676</v>
      </c>
      <c r="K5" t="str">
        <f t="shared" si="0"/>
        <v/>
      </c>
      <c r="L5" t="s">
        <v>336</v>
      </c>
      <c r="M5" t="s">
        <v>335</v>
      </c>
      <c r="N5" t="s">
        <v>346</v>
      </c>
      <c r="O5">
        <v>8</v>
      </c>
      <c r="P5">
        <v>21</v>
      </c>
      <c r="Q5" t="s">
        <v>342</v>
      </c>
      <c r="T5" s="260"/>
      <c r="AB5" t="e">
        <f t="shared" si="1"/>
        <v>#VALUE!</v>
      </c>
      <c r="AC5">
        <f t="shared" si="2"/>
        <v>0</v>
      </c>
    </row>
    <row r="6" spans="1:29" customFormat="1" x14ac:dyDescent="0.25">
      <c r="C6" t="str">
        <f ca="1"/>
        <v>L4LUX</v>
      </c>
      <c r="F6" s="266"/>
      <c r="G6" t="s">
        <v>340</v>
      </c>
      <c r="H6" t="s">
        <v>347</v>
      </c>
      <c r="I6" s="268" t="s">
        <v>311</v>
      </c>
      <c r="J6" t="s">
        <v>677</v>
      </c>
      <c r="K6" t="str">
        <f t="shared" si="0"/>
        <v/>
      </c>
      <c r="L6" t="s">
        <v>336</v>
      </c>
      <c r="M6" t="s">
        <v>335</v>
      </c>
      <c r="N6" t="s">
        <v>348</v>
      </c>
      <c r="O6">
        <v>1</v>
      </c>
      <c r="P6">
        <v>21</v>
      </c>
      <c r="Q6" t="s">
        <v>342</v>
      </c>
      <c r="T6" s="260"/>
      <c r="AB6" t="e">
        <f t="shared" si="1"/>
        <v>#VALUE!</v>
      </c>
      <c r="AC6">
        <f t="shared" si="2"/>
        <v>0</v>
      </c>
    </row>
    <row r="7" spans="1:29" customFormat="1" x14ac:dyDescent="0.25">
      <c r="C7" t="str">
        <f ca="1"/>
        <v>L5LUX</v>
      </c>
      <c r="F7" s="266"/>
      <c r="H7" t="s">
        <v>349</v>
      </c>
      <c r="I7" s="267" t="s">
        <v>679</v>
      </c>
      <c r="J7" t="s">
        <v>678</v>
      </c>
      <c r="K7" t="str">
        <f t="shared" si="0"/>
        <v>Borrado</v>
      </c>
      <c r="L7" t="s">
        <v>336</v>
      </c>
      <c r="M7" t="s">
        <v>335</v>
      </c>
      <c r="N7" t="s">
        <v>350</v>
      </c>
      <c r="O7">
        <v>108</v>
      </c>
      <c r="P7">
        <v>21</v>
      </c>
      <c r="Q7" t="s">
        <v>342</v>
      </c>
      <c r="T7" s="260" t="s">
        <v>155</v>
      </c>
      <c r="AB7" t="e">
        <f t="shared" si="1"/>
        <v>#VALUE!</v>
      </c>
      <c r="AC7">
        <f t="shared" si="2"/>
        <v>0</v>
      </c>
    </row>
    <row r="8" spans="1:29" customFormat="1" x14ac:dyDescent="0.25">
      <c r="C8" t="str">
        <f ca="1"/>
        <v>L8LUX</v>
      </c>
      <c r="F8" s="266"/>
      <c r="G8" t="s">
        <v>340</v>
      </c>
      <c r="H8" t="s">
        <v>351</v>
      </c>
      <c r="I8" s="268" t="s">
        <v>311</v>
      </c>
      <c r="J8" t="s">
        <v>680</v>
      </c>
      <c r="K8" t="str">
        <f t="shared" si="0"/>
        <v/>
      </c>
      <c r="L8" t="s">
        <v>336</v>
      </c>
      <c r="M8" t="s">
        <v>335</v>
      </c>
      <c r="N8" t="s">
        <v>352</v>
      </c>
      <c r="O8">
        <v>1</v>
      </c>
      <c r="P8">
        <v>21</v>
      </c>
      <c r="Q8" t="s">
        <v>353</v>
      </c>
      <c r="T8" s="260"/>
      <c r="AB8" t="e">
        <f t="shared" si="1"/>
        <v>#VALUE!</v>
      </c>
      <c r="AC8">
        <f t="shared" si="2"/>
        <v>0</v>
      </c>
    </row>
    <row r="9" spans="1:29" customFormat="1" x14ac:dyDescent="0.25">
      <c r="C9" t="str">
        <f ca="1"/>
        <v>L9LUX</v>
      </c>
      <c r="F9" s="266"/>
      <c r="G9" t="s">
        <v>340</v>
      </c>
      <c r="H9" t="s">
        <v>354</v>
      </c>
      <c r="I9" s="268" t="s">
        <v>311</v>
      </c>
      <c r="J9" t="s">
        <v>681</v>
      </c>
      <c r="K9" t="str">
        <f t="shared" si="0"/>
        <v/>
      </c>
      <c r="L9" t="s">
        <v>336</v>
      </c>
      <c r="M9" t="s">
        <v>335</v>
      </c>
      <c r="N9" t="s">
        <v>355</v>
      </c>
      <c r="O9">
        <v>5</v>
      </c>
      <c r="P9">
        <v>21</v>
      </c>
      <c r="Q9" t="s">
        <v>342</v>
      </c>
      <c r="T9" s="260"/>
      <c r="AB9" t="e">
        <f t="shared" si="1"/>
        <v>#VALUE!</v>
      </c>
      <c r="AC9">
        <f t="shared" si="2"/>
        <v>0</v>
      </c>
    </row>
    <row r="10" spans="1:29" customFormat="1" x14ac:dyDescent="0.25">
      <c r="C10" t="str">
        <f ca="1"/>
        <v>L10_LUX</v>
      </c>
      <c r="F10" s="266"/>
      <c r="G10" t="s">
        <v>340</v>
      </c>
      <c r="H10" t="s">
        <v>356</v>
      </c>
      <c r="I10" s="268" t="s">
        <v>311</v>
      </c>
      <c r="J10" t="s">
        <v>682</v>
      </c>
      <c r="K10" t="str">
        <f t="shared" si="0"/>
        <v/>
      </c>
      <c r="L10" t="s">
        <v>336</v>
      </c>
      <c r="M10" t="s">
        <v>335</v>
      </c>
      <c r="N10" t="s">
        <v>357</v>
      </c>
      <c r="O10">
        <v>72</v>
      </c>
      <c r="P10">
        <v>21</v>
      </c>
      <c r="Q10" t="s">
        <v>353</v>
      </c>
      <c r="T10" s="260"/>
      <c r="AB10" t="e">
        <f t="shared" si="1"/>
        <v>#VALUE!</v>
      </c>
      <c r="AC10">
        <f t="shared" si="2"/>
        <v>0</v>
      </c>
    </row>
    <row r="11" spans="1:29" customFormat="1" x14ac:dyDescent="0.25">
      <c r="C11" t="str">
        <f ca="1"/>
        <v>L11LUX</v>
      </c>
      <c r="F11" s="266"/>
      <c r="G11" t="s">
        <v>340</v>
      </c>
      <c r="H11" t="s">
        <v>358</v>
      </c>
      <c r="I11" s="268" t="s">
        <v>311</v>
      </c>
      <c r="J11" t="s">
        <v>683</v>
      </c>
      <c r="K11" t="str">
        <f t="shared" si="0"/>
        <v/>
      </c>
      <c r="L11" t="s">
        <v>336</v>
      </c>
      <c r="M11" t="s">
        <v>335</v>
      </c>
      <c r="N11" t="s">
        <v>359</v>
      </c>
      <c r="O11">
        <v>10</v>
      </c>
      <c r="P11">
        <v>21</v>
      </c>
      <c r="Q11" t="s">
        <v>360</v>
      </c>
      <c r="T11" s="260"/>
      <c r="AB11" t="e">
        <f t="shared" si="1"/>
        <v>#VALUE!</v>
      </c>
      <c r="AC11">
        <f t="shared" si="2"/>
        <v>0</v>
      </c>
    </row>
    <row r="12" spans="1:29" customFormat="1" x14ac:dyDescent="0.25">
      <c r="C12" t="str">
        <f ca="1"/>
        <v>L12LUX</v>
      </c>
      <c r="F12" s="266"/>
      <c r="G12" t="s">
        <v>340</v>
      </c>
      <c r="H12" t="s">
        <v>361</v>
      </c>
      <c r="I12" s="268" t="s">
        <v>311</v>
      </c>
      <c r="J12" t="s">
        <v>684</v>
      </c>
      <c r="K12" t="str">
        <f t="shared" si="0"/>
        <v/>
      </c>
      <c r="L12" t="s">
        <v>336</v>
      </c>
      <c r="M12" t="s">
        <v>335</v>
      </c>
      <c r="N12" t="s">
        <v>362</v>
      </c>
      <c r="O12">
        <v>18</v>
      </c>
      <c r="P12">
        <v>21</v>
      </c>
      <c r="Q12" t="s">
        <v>342</v>
      </c>
      <c r="T12" s="260"/>
      <c r="AB12" t="e">
        <f t="shared" si="1"/>
        <v>#VALUE!</v>
      </c>
      <c r="AC12">
        <f t="shared" si="2"/>
        <v>0</v>
      </c>
    </row>
    <row r="13" spans="1:29" customFormat="1" x14ac:dyDescent="0.25">
      <c r="F13" s="266"/>
      <c r="G13" t="s">
        <v>340</v>
      </c>
      <c r="H13" t="s">
        <v>363</v>
      </c>
      <c r="I13" s="268" t="s">
        <v>311</v>
      </c>
      <c r="J13" t="s">
        <v>685</v>
      </c>
      <c r="K13" t="str">
        <f t="shared" si="0"/>
        <v/>
      </c>
      <c r="L13" t="s">
        <v>336</v>
      </c>
      <c r="M13" t="s">
        <v>335</v>
      </c>
      <c r="N13" t="s">
        <v>364</v>
      </c>
      <c r="O13">
        <v>1</v>
      </c>
      <c r="P13">
        <v>21</v>
      </c>
      <c r="Q13" t="s">
        <v>353</v>
      </c>
      <c r="T13" s="260"/>
      <c r="AB13" t="e">
        <f t="shared" si="1"/>
        <v>#VALUE!</v>
      </c>
      <c r="AC13">
        <f t="shared" si="2"/>
        <v>0</v>
      </c>
    </row>
    <row r="14" spans="1:29" customFormat="1" x14ac:dyDescent="0.25">
      <c r="F14" s="266"/>
      <c r="G14" t="s">
        <v>340</v>
      </c>
      <c r="H14" t="s">
        <v>365</v>
      </c>
      <c r="I14" s="268" t="s">
        <v>311</v>
      </c>
      <c r="J14" t="s">
        <v>686</v>
      </c>
      <c r="K14" t="str">
        <f t="shared" si="0"/>
        <v/>
      </c>
      <c r="L14" t="s">
        <v>336</v>
      </c>
      <c r="M14" t="s">
        <v>335</v>
      </c>
      <c r="N14" t="s">
        <v>366</v>
      </c>
      <c r="O14">
        <v>219</v>
      </c>
      <c r="P14">
        <v>21</v>
      </c>
      <c r="Q14" t="s">
        <v>342</v>
      </c>
      <c r="T14" s="260"/>
      <c r="AB14" t="e">
        <f t="shared" si="1"/>
        <v>#VALUE!</v>
      </c>
      <c r="AC14">
        <f t="shared" si="2"/>
        <v>0</v>
      </c>
    </row>
    <row r="15" spans="1:29" customFormat="1" x14ac:dyDescent="0.25">
      <c r="F15" s="266"/>
      <c r="G15" t="s">
        <v>340</v>
      </c>
      <c r="H15" t="s">
        <v>367</v>
      </c>
      <c r="I15" s="268" t="s">
        <v>311</v>
      </c>
      <c r="J15" t="s">
        <v>687</v>
      </c>
      <c r="K15" t="str">
        <f t="shared" si="0"/>
        <v/>
      </c>
      <c r="L15" t="s">
        <v>336</v>
      </c>
      <c r="M15" t="s">
        <v>335</v>
      </c>
      <c r="N15" t="s">
        <v>368</v>
      </c>
      <c r="O15">
        <v>146</v>
      </c>
      <c r="P15">
        <v>21</v>
      </c>
      <c r="Q15" t="s">
        <v>342</v>
      </c>
      <c r="T15" s="260"/>
      <c r="AB15" t="e">
        <f t="shared" si="1"/>
        <v>#VALUE!</v>
      </c>
      <c r="AC15">
        <f t="shared" si="2"/>
        <v>0</v>
      </c>
    </row>
    <row r="16" spans="1:29" customFormat="1" x14ac:dyDescent="0.25">
      <c r="F16" s="266"/>
      <c r="G16" t="s">
        <v>340</v>
      </c>
      <c r="H16" t="s">
        <v>369</v>
      </c>
      <c r="I16" s="268" t="s">
        <v>311</v>
      </c>
      <c r="J16" t="s">
        <v>688</v>
      </c>
      <c r="K16" t="str">
        <f t="shared" si="0"/>
        <v/>
      </c>
      <c r="L16" t="s">
        <v>336</v>
      </c>
      <c r="M16" t="s">
        <v>335</v>
      </c>
      <c r="N16" t="s">
        <v>370</v>
      </c>
      <c r="O16">
        <v>219</v>
      </c>
      <c r="P16">
        <v>21</v>
      </c>
      <c r="Q16" t="s">
        <v>353</v>
      </c>
      <c r="T16" s="260"/>
      <c r="AB16" t="e">
        <f t="shared" si="1"/>
        <v>#VALUE!</v>
      </c>
      <c r="AC16">
        <f t="shared" si="2"/>
        <v>0</v>
      </c>
    </row>
    <row r="17" spans="6:29" customFormat="1" x14ac:dyDescent="0.25">
      <c r="F17" s="266"/>
      <c r="G17" t="s">
        <v>340</v>
      </c>
      <c r="H17" t="s">
        <v>371</v>
      </c>
      <c r="I17" s="268" t="s">
        <v>311</v>
      </c>
      <c r="J17" t="s">
        <v>689</v>
      </c>
      <c r="K17" t="str">
        <f t="shared" si="0"/>
        <v/>
      </c>
      <c r="L17" t="s">
        <v>336</v>
      </c>
      <c r="M17" t="s">
        <v>335</v>
      </c>
      <c r="N17" t="s">
        <v>372</v>
      </c>
      <c r="O17">
        <v>18</v>
      </c>
      <c r="P17">
        <v>21</v>
      </c>
      <c r="Q17" t="s">
        <v>342</v>
      </c>
      <c r="T17" s="260"/>
      <c r="AB17" t="e">
        <f t="shared" si="1"/>
        <v>#VALUE!</v>
      </c>
      <c r="AC17">
        <f t="shared" si="2"/>
        <v>0</v>
      </c>
    </row>
    <row r="18" spans="6:29" customFormat="1" x14ac:dyDescent="0.25">
      <c r="F18" s="266"/>
      <c r="G18" t="s">
        <v>340</v>
      </c>
      <c r="H18" t="s">
        <v>373</v>
      </c>
      <c r="I18" s="268" t="s">
        <v>311</v>
      </c>
      <c r="J18" t="s">
        <v>690</v>
      </c>
      <c r="K18" t="str">
        <f t="shared" si="0"/>
        <v/>
      </c>
      <c r="L18" t="s">
        <v>336</v>
      </c>
      <c r="M18" t="s">
        <v>335</v>
      </c>
      <c r="N18" t="s">
        <v>374</v>
      </c>
      <c r="O18">
        <v>5</v>
      </c>
      <c r="P18">
        <v>21</v>
      </c>
      <c r="Q18" t="s">
        <v>353</v>
      </c>
      <c r="T18" s="260"/>
      <c r="AB18" t="e">
        <f t="shared" si="1"/>
        <v>#VALUE!</v>
      </c>
      <c r="AC18">
        <f t="shared" si="2"/>
        <v>0</v>
      </c>
    </row>
    <row r="19" spans="6:29" customFormat="1" x14ac:dyDescent="0.25">
      <c r="F19" s="266"/>
      <c r="G19" t="s">
        <v>340</v>
      </c>
      <c r="H19" t="s">
        <v>375</v>
      </c>
      <c r="I19" s="268" t="s">
        <v>311</v>
      </c>
      <c r="J19" t="s">
        <v>691</v>
      </c>
      <c r="K19" t="str">
        <f t="shared" si="0"/>
        <v/>
      </c>
      <c r="L19" t="s">
        <v>336</v>
      </c>
      <c r="M19" t="s">
        <v>335</v>
      </c>
      <c r="N19" t="s">
        <v>376</v>
      </c>
      <c r="O19">
        <v>2</v>
      </c>
      <c r="P19">
        <v>21</v>
      </c>
      <c r="Q19" t="s">
        <v>353</v>
      </c>
      <c r="T19" s="260"/>
      <c r="AB19" t="e">
        <f t="shared" si="1"/>
        <v>#VALUE!</v>
      </c>
      <c r="AC19">
        <f t="shared" si="2"/>
        <v>0</v>
      </c>
    </row>
    <row r="20" spans="6:29" customFormat="1" x14ac:dyDescent="0.25">
      <c r="F20" s="266"/>
      <c r="G20" t="s">
        <v>340</v>
      </c>
      <c r="H20" t="s">
        <v>377</v>
      </c>
      <c r="I20" s="268" t="s">
        <v>311</v>
      </c>
      <c r="J20" t="s">
        <v>692</v>
      </c>
      <c r="K20" t="str">
        <f t="shared" si="0"/>
        <v/>
      </c>
      <c r="L20" t="s">
        <v>336</v>
      </c>
      <c r="M20" t="s">
        <v>335</v>
      </c>
      <c r="N20" t="s">
        <v>378</v>
      </c>
      <c r="O20">
        <v>1</v>
      </c>
      <c r="P20">
        <v>21</v>
      </c>
      <c r="Q20" t="s">
        <v>353</v>
      </c>
      <c r="T20" s="260"/>
      <c r="AB20" t="e">
        <f t="shared" si="1"/>
        <v>#VALUE!</v>
      </c>
      <c r="AC20">
        <f t="shared" si="2"/>
        <v>0</v>
      </c>
    </row>
    <row r="21" spans="6:29" customFormat="1" x14ac:dyDescent="0.25">
      <c r="F21" s="266"/>
      <c r="G21" t="s">
        <v>340</v>
      </c>
      <c r="H21" t="s">
        <v>379</v>
      </c>
      <c r="I21" s="268" t="s">
        <v>311</v>
      </c>
      <c r="J21" t="s">
        <v>693</v>
      </c>
      <c r="K21" t="str">
        <f t="shared" si="0"/>
        <v/>
      </c>
      <c r="L21" t="s">
        <v>336</v>
      </c>
      <c r="M21" t="s">
        <v>335</v>
      </c>
      <c r="N21" t="s">
        <v>380</v>
      </c>
      <c r="O21">
        <v>1</v>
      </c>
      <c r="P21">
        <v>21</v>
      </c>
      <c r="Q21" t="s">
        <v>342</v>
      </c>
      <c r="T21" s="260"/>
      <c r="AB21" t="e">
        <f t="shared" si="1"/>
        <v>#VALUE!</v>
      </c>
      <c r="AC21">
        <f t="shared" si="2"/>
        <v>0</v>
      </c>
    </row>
    <row r="22" spans="6:29" customFormat="1" x14ac:dyDescent="0.25">
      <c r="F22" s="266"/>
      <c r="G22" t="s">
        <v>340</v>
      </c>
      <c r="H22" t="s">
        <v>381</v>
      </c>
      <c r="I22" s="268" t="s">
        <v>311</v>
      </c>
      <c r="J22" t="s">
        <v>694</v>
      </c>
      <c r="K22" t="str">
        <f t="shared" si="0"/>
        <v/>
      </c>
      <c r="L22" t="s">
        <v>336</v>
      </c>
      <c r="M22" t="s">
        <v>335</v>
      </c>
      <c r="N22" t="s">
        <v>382</v>
      </c>
      <c r="O22">
        <v>1</v>
      </c>
      <c r="P22">
        <v>21</v>
      </c>
      <c r="Q22" t="s">
        <v>342</v>
      </c>
      <c r="T22" s="260"/>
      <c r="AB22" t="e">
        <f t="shared" si="1"/>
        <v>#VALUE!</v>
      </c>
      <c r="AC22">
        <f t="shared" si="2"/>
        <v>0</v>
      </c>
    </row>
    <row r="23" spans="6:29" customFormat="1" x14ac:dyDescent="0.25">
      <c r="F23" s="266"/>
      <c r="H23" t="s">
        <v>383</v>
      </c>
      <c r="I23" s="267" t="s">
        <v>679</v>
      </c>
      <c r="J23" t="s">
        <v>695</v>
      </c>
      <c r="K23" t="str">
        <f t="shared" si="0"/>
        <v>Borrado</v>
      </c>
      <c r="L23" t="s">
        <v>336</v>
      </c>
      <c r="M23" t="s">
        <v>335</v>
      </c>
      <c r="N23" t="s">
        <v>384</v>
      </c>
      <c r="O23">
        <v>2</v>
      </c>
      <c r="P23">
        <v>21</v>
      </c>
      <c r="Q23" t="s">
        <v>353</v>
      </c>
      <c r="T23" s="260" t="s">
        <v>155</v>
      </c>
      <c r="AB23" t="e">
        <f t="shared" si="1"/>
        <v>#VALUE!</v>
      </c>
      <c r="AC23">
        <f t="shared" si="2"/>
        <v>0</v>
      </c>
    </row>
    <row r="24" spans="6:29" customFormat="1" x14ac:dyDescent="0.25">
      <c r="F24" s="266"/>
      <c r="G24" t="s">
        <v>340</v>
      </c>
      <c r="H24" t="s">
        <v>385</v>
      </c>
      <c r="I24" s="268" t="s">
        <v>311</v>
      </c>
      <c r="J24" t="s">
        <v>696</v>
      </c>
      <c r="K24" t="str">
        <f t="shared" si="0"/>
        <v/>
      </c>
      <c r="L24" t="s">
        <v>336</v>
      </c>
      <c r="M24" t="s">
        <v>335</v>
      </c>
      <c r="N24" t="s">
        <v>386</v>
      </c>
      <c r="O24">
        <v>3</v>
      </c>
      <c r="P24">
        <v>21</v>
      </c>
      <c r="Q24" t="s">
        <v>342</v>
      </c>
      <c r="T24" s="260"/>
      <c r="AB24" t="e">
        <f t="shared" si="1"/>
        <v>#VALUE!</v>
      </c>
      <c r="AC24">
        <f t="shared" si="2"/>
        <v>0</v>
      </c>
    </row>
    <row r="25" spans="6:29" customFormat="1" x14ac:dyDescent="0.25">
      <c r="F25" s="266"/>
      <c r="H25" t="s">
        <v>387</v>
      </c>
      <c r="I25" s="267" t="s">
        <v>679</v>
      </c>
      <c r="J25" t="s">
        <v>697</v>
      </c>
      <c r="K25" t="str">
        <f t="shared" si="0"/>
        <v>Borrado</v>
      </c>
      <c r="L25" t="s">
        <v>336</v>
      </c>
      <c r="M25" t="s">
        <v>335</v>
      </c>
      <c r="N25" t="s">
        <v>388</v>
      </c>
      <c r="O25">
        <v>5</v>
      </c>
      <c r="P25">
        <v>21</v>
      </c>
      <c r="Q25" t="s">
        <v>342</v>
      </c>
      <c r="T25" s="260" t="s">
        <v>155</v>
      </c>
      <c r="AB25" t="e">
        <f t="shared" si="1"/>
        <v>#VALUE!</v>
      </c>
      <c r="AC25">
        <f t="shared" si="2"/>
        <v>0</v>
      </c>
    </row>
    <row r="26" spans="6:29" customFormat="1" x14ac:dyDescent="0.25">
      <c r="F26" s="266"/>
      <c r="G26" t="s">
        <v>340</v>
      </c>
      <c r="H26" t="s">
        <v>389</v>
      </c>
      <c r="I26" s="268" t="s">
        <v>311</v>
      </c>
      <c r="J26" t="s">
        <v>698</v>
      </c>
      <c r="K26" t="str">
        <f t="shared" si="0"/>
        <v/>
      </c>
      <c r="L26" t="s">
        <v>336</v>
      </c>
      <c r="M26" t="s">
        <v>335</v>
      </c>
      <c r="N26" t="s">
        <v>390</v>
      </c>
      <c r="O26">
        <v>2</v>
      </c>
      <c r="P26">
        <v>21</v>
      </c>
      <c r="Q26" t="s">
        <v>353</v>
      </c>
      <c r="T26" s="260"/>
      <c r="AB26" t="e">
        <f t="shared" si="1"/>
        <v>#VALUE!</v>
      </c>
      <c r="AC26">
        <f t="shared" si="2"/>
        <v>0</v>
      </c>
    </row>
    <row r="27" spans="6:29" customFormat="1" x14ac:dyDescent="0.25">
      <c r="F27" s="266"/>
      <c r="G27" t="s">
        <v>340</v>
      </c>
      <c r="H27" t="s">
        <v>391</v>
      </c>
      <c r="I27" s="268" t="s">
        <v>311</v>
      </c>
      <c r="J27" t="s">
        <v>699</v>
      </c>
      <c r="K27" t="str">
        <f t="shared" si="0"/>
        <v/>
      </c>
      <c r="L27" t="s">
        <v>336</v>
      </c>
      <c r="M27" t="s">
        <v>335</v>
      </c>
      <c r="N27" t="s">
        <v>392</v>
      </c>
      <c r="O27">
        <v>3</v>
      </c>
      <c r="P27">
        <v>21</v>
      </c>
      <c r="Q27" t="s">
        <v>342</v>
      </c>
      <c r="T27" s="260"/>
      <c r="AB27" t="e">
        <f t="shared" si="1"/>
        <v>#VALUE!</v>
      </c>
      <c r="AC27">
        <f t="shared" si="2"/>
        <v>0</v>
      </c>
    </row>
    <row r="28" spans="6:29" customFormat="1" x14ac:dyDescent="0.25">
      <c r="F28" s="266"/>
      <c r="G28" t="s">
        <v>340</v>
      </c>
      <c r="H28" t="s">
        <v>393</v>
      </c>
      <c r="I28" s="268" t="s">
        <v>311</v>
      </c>
      <c r="J28" t="s">
        <v>700</v>
      </c>
      <c r="K28" t="str">
        <f t="shared" si="0"/>
        <v/>
      </c>
      <c r="L28" t="s">
        <v>336</v>
      </c>
      <c r="M28" t="s">
        <v>335</v>
      </c>
      <c r="N28" t="s">
        <v>394</v>
      </c>
      <c r="O28">
        <v>1</v>
      </c>
      <c r="P28">
        <v>21</v>
      </c>
      <c r="Q28" t="s">
        <v>342</v>
      </c>
      <c r="T28" s="260"/>
      <c r="AB28" t="e">
        <f t="shared" si="1"/>
        <v>#VALUE!</v>
      </c>
      <c r="AC28">
        <f t="shared" si="2"/>
        <v>0</v>
      </c>
    </row>
    <row r="29" spans="6:29" customFormat="1" x14ac:dyDescent="0.25">
      <c r="F29" s="266"/>
      <c r="G29" t="s">
        <v>340</v>
      </c>
      <c r="H29" t="s">
        <v>395</v>
      </c>
      <c r="I29" s="268" t="s">
        <v>311</v>
      </c>
      <c r="J29" t="s">
        <v>701</v>
      </c>
      <c r="K29" t="str">
        <f t="shared" si="0"/>
        <v/>
      </c>
      <c r="L29" t="s">
        <v>336</v>
      </c>
      <c r="M29" t="s">
        <v>335</v>
      </c>
      <c r="N29" t="s">
        <v>396</v>
      </c>
      <c r="O29">
        <v>228</v>
      </c>
      <c r="P29">
        <v>21</v>
      </c>
      <c r="Q29" t="s">
        <v>353</v>
      </c>
      <c r="T29" s="260"/>
      <c r="AB29" t="e">
        <f t="shared" si="1"/>
        <v>#VALUE!</v>
      </c>
      <c r="AC29">
        <f t="shared" si="2"/>
        <v>0</v>
      </c>
    </row>
    <row r="30" spans="6:29" customFormat="1" x14ac:dyDescent="0.25">
      <c r="F30" s="266"/>
      <c r="G30" t="s">
        <v>340</v>
      </c>
      <c r="H30" t="s">
        <v>397</v>
      </c>
      <c r="I30" s="268" t="s">
        <v>311</v>
      </c>
      <c r="J30" t="s">
        <v>702</v>
      </c>
      <c r="K30" t="str">
        <f t="shared" si="0"/>
        <v/>
      </c>
      <c r="L30" t="s">
        <v>336</v>
      </c>
      <c r="M30" t="s">
        <v>335</v>
      </c>
      <c r="N30" t="s">
        <v>398</v>
      </c>
      <c r="O30">
        <v>72</v>
      </c>
      <c r="P30">
        <v>21</v>
      </c>
      <c r="Q30" t="s">
        <v>342</v>
      </c>
      <c r="T30" s="260"/>
      <c r="AB30" t="e">
        <f t="shared" si="1"/>
        <v>#VALUE!</v>
      </c>
      <c r="AC30">
        <f t="shared" si="2"/>
        <v>0</v>
      </c>
    </row>
    <row r="31" spans="6:29" customFormat="1" x14ac:dyDescent="0.25">
      <c r="F31" s="266"/>
      <c r="G31" t="s">
        <v>340</v>
      </c>
      <c r="H31" t="s">
        <v>399</v>
      </c>
      <c r="I31" s="268" t="s">
        <v>311</v>
      </c>
      <c r="J31" t="s">
        <v>703</v>
      </c>
      <c r="K31" t="str">
        <f t="shared" si="0"/>
        <v/>
      </c>
      <c r="L31" t="s">
        <v>336</v>
      </c>
      <c r="M31" t="s">
        <v>335</v>
      </c>
      <c r="N31" t="s">
        <v>400</v>
      </c>
      <c r="O31">
        <v>234</v>
      </c>
      <c r="P31">
        <v>21</v>
      </c>
      <c r="Q31" t="s">
        <v>353</v>
      </c>
      <c r="T31" s="260"/>
      <c r="AB31" t="e">
        <f t="shared" si="1"/>
        <v>#VALUE!</v>
      </c>
      <c r="AC31">
        <f t="shared" si="2"/>
        <v>0</v>
      </c>
    </row>
    <row r="32" spans="6:29" customFormat="1" x14ac:dyDescent="0.25">
      <c r="F32" s="266"/>
      <c r="G32" t="s">
        <v>340</v>
      </c>
      <c r="H32" t="s">
        <v>401</v>
      </c>
      <c r="I32" s="268" t="s">
        <v>311</v>
      </c>
      <c r="J32" t="s">
        <v>704</v>
      </c>
      <c r="K32" t="str">
        <f t="shared" si="0"/>
        <v/>
      </c>
      <c r="L32" t="s">
        <v>336</v>
      </c>
      <c r="M32" t="s">
        <v>335</v>
      </c>
      <c r="N32" t="s">
        <v>402</v>
      </c>
      <c r="O32">
        <v>5</v>
      </c>
      <c r="P32">
        <v>21</v>
      </c>
      <c r="Q32" t="s">
        <v>342</v>
      </c>
      <c r="T32" s="260"/>
      <c r="AB32" t="e">
        <f t="shared" si="1"/>
        <v>#VALUE!</v>
      </c>
      <c r="AC32">
        <f t="shared" si="2"/>
        <v>0</v>
      </c>
    </row>
    <row r="33" spans="6:29" customFormat="1" x14ac:dyDescent="0.25">
      <c r="F33" s="266"/>
      <c r="G33" t="s">
        <v>340</v>
      </c>
      <c r="H33" t="s">
        <v>403</v>
      </c>
      <c r="I33" s="268" t="s">
        <v>311</v>
      </c>
      <c r="J33" t="s">
        <v>705</v>
      </c>
      <c r="K33" t="str">
        <f t="shared" si="0"/>
        <v/>
      </c>
      <c r="L33" t="s">
        <v>337</v>
      </c>
      <c r="M33" t="s">
        <v>335</v>
      </c>
      <c r="N33" t="s">
        <v>404</v>
      </c>
      <c r="O33">
        <v>8</v>
      </c>
      <c r="P33">
        <v>21</v>
      </c>
      <c r="Q33" t="s">
        <v>353</v>
      </c>
      <c r="T33" s="260"/>
      <c r="AB33" t="e">
        <f t="shared" si="1"/>
        <v>#VALUE!</v>
      </c>
      <c r="AC33">
        <f t="shared" si="2"/>
        <v>0</v>
      </c>
    </row>
    <row r="34" spans="6:29" customFormat="1" x14ac:dyDescent="0.25">
      <c r="F34" s="266"/>
      <c r="G34" t="s">
        <v>340</v>
      </c>
      <c r="H34" t="s">
        <v>405</v>
      </c>
      <c r="I34" s="268" t="s">
        <v>311</v>
      </c>
      <c r="J34" t="s">
        <v>706</v>
      </c>
      <c r="K34" t="str">
        <f t="shared" si="0"/>
        <v/>
      </c>
      <c r="L34" t="s">
        <v>336</v>
      </c>
      <c r="M34" t="s">
        <v>335</v>
      </c>
      <c r="N34" t="s">
        <v>406</v>
      </c>
      <c r="O34">
        <v>2</v>
      </c>
      <c r="P34">
        <v>21</v>
      </c>
      <c r="Q34" t="s">
        <v>342</v>
      </c>
      <c r="T34" s="260"/>
      <c r="AB34" t="e">
        <f t="shared" si="1"/>
        <v>#VALUE!</v>
      </c>
      <c r="AC34">
        <f t="shared" si="2"/>
        <v>0</v>
      </c>
    </row>
    <row r="35" spans="6:29" customFormat="1" x14ac:dyDescent="0.25">
      <c r="F35" s="266"/>
      <c r="G35" t="s">
        <v>340</v>
      </c>
      <c r="H35" t="s">
        <v>407</v>
      </c>
      <c r="I35" s="268" t="s">
        <v>311</v>
      </c>
      <c r="J35" t="s">
        <v>707</v>
      </c>
      <c r="K35" t="str">
        <f t="shared" si="0"/>
        <v/>
      </c>
      <c r="L35" t="s">
        <v>336</v>
      </c>
      <c r="M35" t="s">
        <v>335</v>
      </c>
      <c r="N35" t="s">
        <v>408</v>
      </c>
      <c r="O35">
        <v>10</v>
      </c>
      <c r="P35">
        <v>21</v>
      </c>
      <c r="Q35" t="s">
        <v>342</v>
      </c>
      <c r="T35" s="260"/>
    </row>
    <row r="36" spans="6:29" customFormat="1" x14ac:dyDescent="0.25">
      <c r="F36" s="266"/>
      <c r="G36" t="s">
        <v>340</v>
      </c>
      <c r="H36" t="s">
        <v>409</v>
      </c>
      <c r="I36" s="268" t="s">
        <v>311</v>
      </c>
      <c r="J36" t="s">
        <v>708</v>
      </c>
      <c r="K36" t="str">
        <f t="shared" si="0"/>
        <v/>
      </c>
      <c r="L36" t="s">
        <v>336</v>
      </c>
      <c r="M36" t="s">
        <v>335</v>
      </c>
      <c r="N36" t="s">
        <v>410</v>
      </c>
      <c r="O36">
        <v>10</v>
      </c>
      <c r="P36">
        <v>21</v>
      </c>
      <c r="Q36" t="s">
        <v>353</v>
      </c>
      <c r="T36" s="260"/>
    </row>
    <row r="37" spans="6:29" customFormat="1" x14ac:dyDescent="0.25">
      <c r="F37" s="266"/>
      <c r="G37" t="s">
        <v>340</v>
      </c>
      <c r="H37" t="s">
        <v>411</v>
      </c>
      <c r="I37" s="268" t="s">
        <v>311</v>
      </c>
      <c r="J37" t="s">
        <v>709</v>
      </c>
      <c r="K37" t="str">
        <f t="shared" si="0"/>
        <v/>
      </c>
      <c r="L37" t="s">
        <v>336</v>
      </c>
      <c r="M37" t="s">
        <v>335</v>
      </c>
      <c r="N37" t="s">
        <v>410</v>
      </c>
      <c r="O37">
        <v>10</v>
      </c>
      <c r="P37">
        <v>21</v>
      </c>
      <c r="Q37" t="s">
        <v>353</v>
      </c>
      <c r="T37" s="260"/>
    </row>
    <row r="38" spans="6:29" customFormat="1" x14ac:dyDescent="0.25">
      <c r="F38" s="266"/>
      <c r="G38" t="s">
        <v>340</v>
      </c>
      <c r="H38" t="s">
        <v>412</v>
      </c>
      <c r="I38" s="268" t="s">
        <v>311</v>
      </c>
      <c r="J38" t="s">
        <v>710</v>
      </c>
      <c r="K38" t="str">
        <f t="shared" si="0"/>
        <v/>
      </c>
      <c r="L38" t="s">
        <v>336</v>
      </c>
      <c r="M38" t="s">
        <v>335</v>
      </c>
      <c r="N38" t="s">
        <v>413</v>
      </c>
      <c r="O38">
        <v>73</v>
      </c>
      <c r="P38">
        <v>21</v>
      </c>
      <c r="Q38" t="s">
        <v>342</v>
      </c>
      <c r="T38" s="260"/>
    </row>
    <row r="39" spans="6:29" customFormat="1" x14ac:dyDescent="0.25">
      <c r="F39" s="266"/>
      <c r="G39" t="s">
        <v>340</v>
      </c>
      <c r="H39" t="s">
        <v>414</v>
      </c>
      <c r="I39" s="268" t="s">
        <v>311</v>
      </c>
      <c r="J39" t="s">
        <v>711</v>
      </c>
      <c r="K39" t="str">
        <f t="shared" si="0"/>
        <v/>
      </c>
      <c r="L39" t="s">
        <v>336</v>
      </c>
      <c r="M39" t="s">
        <v>335</v>
      </c>
      <c r="N39" t="s">
        <v>415</v>
      </c>
      <c r="O39">
        <v>2</v>
      </c>
      <c r="P39">
        <v>21</v>
      </c>
      <c r="Q39" t="s">
        <v>353</v>
      </c>
      <c r="T39" s="260"/>
    </row>
    <row r="40" spans="6:29" customFormat="1" x14ac:dyDescent="0.25">
      <c r="F40" s="266"/>
      <c r="G40" t="s">
        <v>340</v>
      </c>
      <c r="H40" t="s">
        <v>416</v>
      </c>
      <c r="I40" s="268" t="s">
        <v>311</v>
      </c>
      <c r="J40" t="s">
        <v>712</v>
      </c>
      <c r="K40" t="str">
        <f t="shared" si="0"/>
        <v/>
      </c>
      <c r="L40" t="s">
        <v>336</v>
      </c>
      <c r="M40" t="s">
        <v>335</v>
      </c>
      <c r="N40" t="s">
        <v>417</v>
      </c>
      <c r="O40" s="265">
        <v>4</v>
      </c>
      <c r="P40">
        <v>21</v>
      </c>
      <c r="Q40" t="s">
        <v>342</v>
      </c>
      <c r="T40" s="260"/>
    </row>
    <row r="41" spans="6:29" customFormat="1" x14ac:dyDescent="0.25">
      <c r="F41" s="266"/>
      <c r="G41" t="s">
        <v>340</v>
      </c>
      <c r="H41" t="s">
        <v>418</v>
      </c>
      <c r="I41" s="268" t="s">
        <v>311</v>
      </c>
      <c r="J41" t="s">
        <v>713</v>
      </c>
      <c r="K41" t="str">
        <f t="shared" si="0"/>
        <v/>
      </c>
      <c r="L41" t="s">
        <v>336</v>
      </c>
      <c r="M41" t="s">
        <v>335</v>
      </c>
      <c r="N41" t="s">
        <v>419</v>
      </c>
      <c r="O41" s="265">
        <v>1</v>
      </c>
      <c r="P41">
        <v>21</v>
      </c>
      <c r="Q41" t="s">
        <v>342</v>
      </c>
      <c r="T41" s="260"/>
    </row>
    <row r="42" spans="6:29" customFormat="1" x14ac:dyDescent="0.25">
      <c r="F42" s="266"/>
      <c r="G42" t="s">
        <v>340</v>
      </c>
      <c r="H42" t="s">
        <v>420</v>
      </c>
      <c r="I42" s="268" t="s">
        <v>311</v>
      </c>
      <c r="J42" t="s">
        <v>714</v>
      </c>
      <c r="K42" t="str">
        <f t="shared" si="0"/>
        <v/>
      </c>
      <c r="L42" t="s">
        <v>336</v>
      </c>
      <c r="M42" t="s">
        <v>335</v>
      </c>
      <c r="N42" t="s">
        <v>421</v>
      </c>
      <c r="O42">
        <v>16</v>
      </c>
      <c r="P42">
        <v>21</v>
      </c>
      <c r="Q42" t="s">
        <v>342</v>
      </c>
      <c r="T42" s="260"/>
    </row>
    <row r="43" spans="6:29" customFormat="1" x14ac:dyDescent="0.25">
      <c r="F43" s="266"/>
      <c r="G43" t="s">
        <v>340</v>
      </c>
      <c r="H43" t="s">
        <v>422</v>
      </c>
      <c r="I43" s="268" t="s">
        <v>311</v>
      </c>
      <c r="J43" t="s">
        <v>715</v>
      </c>
      <c r="L43" t="s">
        <v>336</v>
      </c>
      <c r="M43" t="s">
        <v>335</v>
      </c>
      <c r="N43" t="s">
        <v>423</v>
      </c>
      <c r="O43" s="265">
        <v>1</v>
      </c>
      <c r="P43">
        <v>21</v>
      </c>
      <c r="Q43" t="s">
        <v>342</v>
      </c>
      <c r="T43" s="260"/>
    </row>
    <row r="44" spans="6:29" customFormat="1" x14ac:dyDescent="0.25">
      <c r="F44" s="266"/>
      <c r="G44" t="s">
        <v>340</v>
      </c>
      <c r="H44" t="s">
        <v>424</v>
      </c>
      <c r="I44" s="268" t="s">
        <v>311</v>
      </c>
      <c r="J44" t="s">
        <v>716</v>
      </c>
      <c r="L44" t="s">
        <v>336</v>
      </c>
      <c r="M44" t="s">
        <v>335</v>
      </c>
      <c r="N44" t="s">
        <v>425</v>
      </c>
      <c r="O44" s="265">
        <v>10</v>
      </c>
      <c r="P44">
        <v>21</v>
      </c>
      <c r="Q44" t="s">
        <v>342</v>
      </c>
      <c r="T44" s="260"/>
    </row>
    <row r="45" spans="6:29" customFormat="1" x14ac:dyDescent="0.25">
      <c r="F45" s="266"/>
      <c r="G45" t="s">
        <v>340</v>
      </c>
      <c r="H45" t="s">
        <v>426</v>
      </c>
      <c r="I45" s="268" t="s">
        <v>311</v>
      </c>
      <c r="J45" t="s">
        <v>717</v>
      </c>
      <c r="L45" t="s">
        <v>336</v>
      </c>
      <c r="M45" t="s">
        <v>335</v>
      </c>
      <c r="N45" t="s">
        <v>427</v>
      </c>
      <c r="O45">
        <v>5</v>
      </c>
      <c r="P45">
        <v>21</v>
      </c>
      <c r="Q45" t="s">
        <v>342</v>
      </c>
      <c r="T45" s="260"/>
    </row>
    <row r="46" spans="6:29" customFormat="1" x14ac:dyDescent="0.25">
      <c r="F46" s="266"/>
      <c r="G46" t="s">
        <v>340</v>
      </c>
      <c r="H46" t="s">
        <v>428</v>
      </c>
      <c r="I46" s="268" t="s">
        <v>311</v>
      </c>
      <c r="J46" t="s">
        <v>718</v>
      </c>
      <c r="L46" t="s">
        <v>336</v>
      </c>
      <c r="M46" t="s">
        <v>335</v>
      </c>
      <c r="N46" t="s">
        <v>429</v>
      </c>
      <c r="O46">
        <v>5</v>
      </c>
      <c r="P46">
        <v>21</v>
      </c>
      <c r="Q46" t="s">
        <v>342</v>
      </c>
      <c r="T46" s="260"/>
    </row>
    <row r="47" spans="6:29" customFormat="1" x14ac:dyDescent="0.25">
      <c r="F47" s="266"/>
      <c r="G47" t="s">
        <v>340</v>
      </c>
      <c r="H47" t="s">
        <v>430</v>
      </c>
      <c r="I47" s="268" t="s">
        <v>311</v>
      </c>
      <c r="J47" t="s">
        <v>719</v>
      </c>
      <c r="L47" t="s">
        <v>336</v>
      </c>
      <c r="M47" t="s">
        <v>335</v>
      </c>
      <c r="N47" t="s">
        <v>431</v>
      </c>
      <c r="O47">
        <v>10</v>
      </c>
      <c r="P47">
        <v>21</v>
      </c>
      <c r="Q47" t="s">
        <v>342</v>
      </c>
      <c r="T47" s="260"/>
    </row>
    <row r="48" spans="6:29" customFormat="1" x14ac:dyDescent="0.25">
      <c r="F48" s="266"/>
      <c r="G48" t="s">
        <v>340</v>
      </c>
      <c r="H48" t="s">
        <v>432</v>
      </c>
      <c r="I48" s="268" t="s">
        <v>311</v>
      </c>
      <c r="J48" t="s">
        <v>720</v>
      </c>
      <c r="L48" t="s">
        <v>336</v>
      </c>
      <c r="M48" t="s">
        <v>335</v>
      </c>
      <c r="N48" t="s">
        <v>433</v>
      </c>
      <c r="O48">
        <v>2</v>
      </c>
      <c r="P48">
        <v>21</v>
      </c>
      <c r="Q48" t="s">
        <v>353</v>
      </c>
      <c r="T48" s="260"/>
    </row>
    <row r="49" spans="6:20" customFormat="1" x14ac:dyDescent="0.25">
      <c r="F49" s="266"/>
      <c r="G49" t="s">
        <v>340</v>
      </c>
      <c r="H49" t="s">
        <v>434</v>
      </c>
      <c r="I49" s="268" t="s">
        <v>311</v>
      </c>
      <c r="J49" t="s">
        <v>721</v>
      </c>
      <c r="L49" t="s">
        <v>336</v>
      </c>
      <c r="M49" t="s">
        <v>335</v>
      </c>
      <c r="N49" t="s">
        <v>435</v>
      </c>
      <c r="O49">
        <v>10</v>
      </c>
      <c r="P49">
        <v>21</v>
      </c>
      <c r="Q49" t="s">
        <v>342</v>
      </c>
      <c r="T49" s="260"/>
    </row>
    <row r="50" spans="6:20" customFormat="1" x14ac:dyDescent="0.25">
      <c r="F50" s="266"/>
      <c r="G50" t="s">
        <v>340</v>
      </c>
      <c r="H50" t="s">
        <v>436</v>
      </c>
      <c r="I50" s="268" t="s">
        <v>311</v>
      </c>
      <c r="J50" t="s">
        <v>722</v>
      </c>
      <c r="L50" t="s">
        <v>336</v>
      </c>
      <c r="M50" t="s">
        <v>335</v>
      </c>
      <c r="N50" t="s">
        <v>437</v>
      </c>
      <c r="O50">
        <v>10</v>
      </c>
      <c r="P50">
        <v>21</v>
      </c>
      <c r="Q50" t="s">
        <v>342</v>
      </c>
      <c r="T50" s="260"/>
    </row>
    <row r="51" spans="6:20" customFormat="1" x14ac:dyDescent="0.25">
      <c r="F51" s="266"/>
      <c r="G51" t="s">
        <v>340</v>
      </c>
      <c r="H51" t="s">
        <v>438</v>
      </c>
      <c r="I51" s="268" t="s">
        <v>311</v>
      </c>
      <c r="J51" t="s">
        <v>723</v>
      </c>
      <c r="L51" t="s">
        <v>336</v>
      </c>
      <c r="M51" t="s">
        <v>335</v>
      </c>
      <c r="N51" t="s">
        <v>439</v>
      </c>
      <c r="O51">
        <v>5</v>
      </c>
      <c r="P51">
        <v>21</v>
      </c>
      <c r="Q51" t="s">
        <v>342</v>
      </c>
      <c r="T51" s="260"/>
    </row>
    <row r="52" spans="6:20" customFormat="1" x14ac:dyDescent="0.25">
      <c r="F52" s="266"/>
      <c r="G52" t="s">
        <v>340</v>
      </c>
      <c r="H52" t="s">
        <v>440</v>
      </c>
      <c r="I52" s="268" t="s">
        <v>311</v>
      </c>
      <c r="J52" t="s">
        <v>724</v>
      </c>
      <c r="L52" t="s">
        <v>336</v>
      </c>
      <c r="M52" t="s">
        <v>335</v>
      </c>
      <c r="N52" t="s">
        <v>441</v>
      </c>
      <c r="O52">
        <v>5</v>
      </c>
      <c r="P52">
        <v>21</v>
      </c>
      <c r="Q52" t="s">
        <v>353</v>
      </c>
      <c r="T52" s="260"/>
    </row>
    <row r="53" spans="6:20" customFormat="1" x14ac:dyDescent="0.25">
      <c r="F53" s="266"/>
      <c r="H53" t="s">
        <v>442</v>
      </c>
      <c r="I53" s="267" t="s">
        <v>679</v>
      </c>
      <c r="J53" t="s">
        <v>725</v>
      </c>
      <c r="L53" t="s">
        <v>336</v>
      </c>
      <c r="M53" t="s">
        <v>335</v>
      </c>
      <c r="N53" t="s">
        <v>443</v>
      </c>
      <c r="O53">
        <v>15</v>
      </c>
      <c r="P53">
        <v>21</v>
      </c>
      <c r="Q53" t="s">
        <v>342</v>
      </c>
      <c r="T53" s="260"/>
    </row>
    <row r="54" spans="6:20" customFormat="1" x14ac:dyDescent="0.25">
      <c r="F54" s="266"/>
      <c r="G54" t="s">
        <v>340</v>
      </c>
      <c r="H54" t="s">
        <v>444</v>
      </c>
      <c r="I54" s="268" t="s">
        <v>311</v>
      </c>
      <c r="J54" t="s">
        <v>726</v>
      </c>
      <c r="L54" t="s">
        <v>336</v>
      </c>
      <c r="M54" t="s">
        <v>335</v>
      </c>
      <c r="N54" t="s">
        <v>445</v>
      </c>
      <c r="O54">
        <v>1</v>
      </c>
      <c r="P54">
        <v>21</v>
      </c>
      <c r="Q54" t="s">
        <v>353</v>
      </c>
      <c r="T54" s="260"/>
    </row>
    <row r="55" spans="6:20" customFormat="1" x14ac:dyDescent="0.25">
      <c r="F55" s="266"/>
      <c r="G55" t="s">
        <v>340</v>
      </c>
      <c r="H55" t="s">
        <v>446</v>
      </c>
      <c r="I55" s="268" t="s">
        <v>311</v>
      </c>
      <c r="J55" t="s">
        <v>727</v>
      </c>
      <c r="L55" t="s">
        <v>336</v>
      </c>
      <c r="M55" t="s">
        <v>335</v>
      </c>
      <c r="N55" t="s">
        <v>447</v>
      </c>
      <c r="O55">
        <v>2</v>
      </c>
      <c r="P55">
        <v>21</v>
      </c>
      <c r="Q55" t="s">
        <v>353</v>
      </c>
      <c r="T55" s="260"/>
    </row>
    <row r="56" spans="6:20" customFormat="1" x14ac:dyDescent="0.25">
      <c r="F56" s="266"/>
      <c r="H56" t="s">
        <v>448</v>
      </c>
      <c r="I56" s="267" t="s">
        <v>679</v>
      </c>
      <c r="J56" t="s">
        <v>728</v>
      </c>
      <c r="L56" t="s">
        <v>336</v>
      </c>
      <c r="M56" t="s">
        <v>335</v>
      </c>
      <c r="N56" t="s">
        <v>449</v>
      </c>
      <c r="O56">
        <v>3</v>
      </c>
      <c r="P56">
        <v>21</v>
      </c>
      <c r="Q56" t="s">
        <v>353</v>
      </c>
      <c r="T56" s="260" t="s">
        <v>155</v>
      </c>
    </row>
    <row r="57" spans="6:20" customFormat="1" x14ac:dyDescent="0.25">
      <c r="F57" s="266"/>
      <c r="G57" t="s">
        <v>340</v>
      </c>
      <c r="H57" t="s">
        <v>450</v>
      </c>
      <c r="I57" s="268" t="s">
        <v>311</v>
      </c>
      <c r="J57" t="s">
        <v>729</v>
      </c>
      <c r="L57" t="s">
        <v>336</v>
      </c>
      <c r="M57" t="s">
        <v>335</v>
      </c>
      <c r="N57" t="s">
        <v>451</v>
      </c>
      <c r="O57">
        <v>3</v>
      </c>
      <c r="P57">
        <v>21</v>
      </c>
      <c r="Q57" t="s">
        <v>342</v>
      </c>
      <c r="T57" s="260"/>
    </row>
    <row r="58" spans="6:20" customFormat="1" x14ac:dyDescent="0.25">
      <c r="F58" s="266"/>
      <c r="G58" t="s">
        <v>340</v>
      </c>
      <c r="H58" t="s">
        <v>452</v>
      </c>
      <c r="I58" s="268" t="s">
        <v>311</v>
      </c>
      <c r="J58" t="s">
        <v>730</v>
      </c>
      <c r="L58" t="s">
        <v>336</v>
      </c>
      <c r="M58" t="s">
        <v>335</v>
      </c>
      <c r="N58" t="s">
        <v>453</v>
      </c>
      <c r="O58">
        <v>15</v>
      </c>
      <c r="P58">
        <v>21</v>
      </c>
      <c r="Q58" t="s">
        <v>342</v>
      </c>
      <c r="T58" s="260"/>
    </row>
    <row r="59" spans="6:20" customFormat="1" x14ac:dyDescent="0.25">
      <c r="F59" s="266"/>
      <c r="G59" t="s">
        <v>340</v>
      </c>
      <c r="H59" t="s">
        <v>454</v>
      </c>
      <c r="I59" s="268" t="s">
        <v>311</v>
      </c>
      <c r="J59" t="s">
        <v>731</v>
      </c>
      <c r="L59" t="s">
        <v>336</v>
      </c>
      <c r="M59" t="s">
        <v>335</v>
      </c>
      <c r="N59" t="s">
        <v>455</v>
      </c>
      <c r="O59">
        <v>10</v>
      </c>
      <c r="P59">
        <v>21</v>
      </c>
      <c r="Q59" t="s">
        <v>342</v>
      </c>
      <c r="T59" s="260"/>
    </row>
    <row r="60" spans="6:20" customFormat="1" x14ac:dyDescent="0.25">
      <c r="F60" s="266"/>
      <c r="G60" t="s">
        <v>340</v>
      </c>
      <c r="H60" t="s">
        <v>456</v>
      </c>
      <c r="I60" s="268" t="s">
        <v>311</v>
      </c>
      <c r="J60" t="s">
        <v>732</v>
      </c>
      <c r="L60" t="s">
        <v>336</v>
      </c>
      <c r="M60" t="s">
        <v>335</v>
      </c>
      <c r="N60" t="s">
        <v>457</v>
      </c>
      <c r="O60">
        <v>2</v>
      </c>
      <c r="P60">
        <v>21</v>
      </c>
      <c r="Q60" t="s">
        <v>342</v>
      </c>
      <c r="T60" s="260"/>
    </row>
    <row r="61" spans="6:20" customFormat="1" x14ac:dyDescent="0.25">
      <c r="F61" s="266"/>
      <c r="G61" t="s">
        <v>340</v>
      </c>
      <c r="H61" t="s">
        <v>458</v>
      </c>
      <c r="I61" s="268" t="s">
        <v>311</v>
      </c>
      <c r="J61" t="s">
        <v>733</v>
      </c>
      <c r="L61" t="s">
        <v>336</v>
      </c>
      <c r="M61" t="s">
        <v>335</v>
      </c>
      <c r="N61" t="s">
        <v>459</v>
      </c>
      <c r="O61">
        <v>2</v>
      </c>
      <c r="P61">
        <v>21</v>
      </c>
      <c r="Q61" t="s">
        <v>342</v>
      </c>
      <c r="T61" s="260"/>
    </row>
    <row r="62" spans="6:20" customFormat="1" x14ac:dyDescent="0.25">
      <c r="F62" s="266"/>
      <c r="G62" t="s">
        <v>340</v>
      </c>
      <c r="H62" t="s">
        <v>460</v>
      </c>
      <c r="I62" s="268" t="s">
        <v>311</v>
      </c>
      <c r="J62" t="s">
        <v>734</v>
      </c>
      <c r="L62" t="s">
        <v>336</v>
      </c>
      <c r="M62" t="s">
        <v>335</v>
      </c>
      <c r="N62" t="s">
        <v>461</v>
      </c>
      <c r="O62">
        <v>2</v>
      </c>
      <c r="P62">
        <v>21</v>
      </c>
      <c r="Q62" t="s">
        <v>353</v>
      </c>
      <c r="T62" s="260"/>
    </row>
    <row r="63" spans="6:20" customFormat="1" x14ac:dyDescent="0.25">
      <c r="F63" s="266"/>
      <c r="G63" t="s">
        <v>340</v>
      </c>
      <c r="H63" t="s">
        <v>462</v>
      </c>
      <c r="I63" s="268" t="s">
        <v>311</v>
      </c>
      <c r="J63" t="s">
        <v>735</v>
      </c>
      <c r="L63" t="s">
        <v>336</v>
      </c>
      <c r="M63" t="s">
        <v>335</v>
      </c>
      <c r="N63" t="s">
        <v>463</v>
      </c>
      <c r="O63">
        <v>2</v>
      </c>
      <c r="P63">
        <v>21</v>
      </c>
      <c r="Q63" t="s">
        <v>342</v>
      </c>
      <c r="T63" s="260"/>
    </row>
    <row r="64" spans="6:20" customFormat="1" x14ac:dyDescent="0.25">
      <c r="F64" s="266"/>
      <c r="G64" t="s">
        <v>340</v>
      </c>
      <c r="H64" t="s">
        <v>464</v>
      </c>
      <c r="I64" s="268" t="s">
        <v>311</v>
      </c>
      <c r="J64" t="s">
        <v>736</v>
      </c>
      <c r="L64" t="s">
        <v>336</v>
      </c>
      <c r="M64" t="s">
        <v>335</v>
      </c>
      <c r="N64" t="s">
        <v>465</v>
      </c>
      <c r="O64">
        <v>2</v>
      </c>
      <c r="P64">
        <v>21</v>
      </c>
      <c r="Q64" t="s">
        <v>342</v>
      </c>
      <c r="T64" s="260"/>
    </row>
    <row r="65" spans="6:20" customFormat="1" x14ac:dyDescent="0.25">
      <c r="F65" s="266"/>
      <c r="G65" t="s">
        <v>340</v>
      </c>
      <c r="H65" t="s">
        <v>466</v>
      </c>
      <c r="I65" s="268" t="s">
        <v>311</v>
      </c>
      <c r="J65" t="s">
        <v>737</v>
      </c>
      <c r="L65" t="s">
        <v>336</v>
      </c>
      <c r="M65" t="s">
        <v>335</v>
      </c>
      <c r="N65" t="s">
        <v>467</v>
      </c>
      <c r="O65">
        <v>1</v>
      </c>
      <c r="P65">
        <v>21</v>
      </c>
      <c r="Q65" t="s">
        <v>342</v>
      </c>
      <c r="T65" s="260"/>
    </row>
    <row r="66" spans="6:20" customFormat="1" x14ac:dyDescent="0.25">
      <c r="F66" s="266"/>
      <c r="G66" t="s">
        <v>340</v>
      </c>
      <c r="H66" t="s">
        <v>468</v>
      </c>
      <c r="I66" s="268" t="s">
        <v>311</v>
      </c>
      <c r="J66" t="s">
        <v>738</v>
      </c>
      <c r="L66" t="s">
        <v>336</v>
      </c>
      <c r="M66" t="s">
        <v>335</v>
      </c>
      <c r="N66" t="s">
        <v>469</v>
      </c>
      <c r="O66">
        <v>1</v>
      </c>
      <c r="P66">
        <v>21</v>
      </c>
      <c r="Q66" t="s">
        <v>342</v>
      </c>
      <c r="T66" s="260"/>
    </row>
    <row r="67" spans="6:20" customFormat="1" x14ac:dyDescent="0.25">
      <c r="F67" s="266"/>
      <c r="G67" t="s">
        <v>340</v>
      </c>
      <c r="H67" t="s">
        <v>470</v>
      </c>
      <c r="I67" s="268" t="s">
        <v>311</v>
      </c>
      <c r="J67" t="s">
        <v>739</v>
      </c>
      <c r="L67" t="s">
        <v>336</v>
      </c>
      <c r="M67" t="s">
        <v>335</v>
      </c>
      <c r="N67" t="s">
        <v>471</v>
      </c>
      <c r="O67">
        <v>5</v>
      </c>
      <c r="P67">
        <v>21</v>
      </c>
      <c r="Q67" t="s">
        <v>342</v>
      </c>
      <c r="T67" s="260"/>
    </row>
    <row r="68" spans="6:20" customFormat="1" x14ac:dyDescent="0.25">
      <c r="F68" s="266"/>
      <c r="G68" t="s">
        <v>340</v>
      </c>
      <c r="H68" t="s">
        <v>472</v>
      </c>
      <c r="I68" s="268" t="s">
        <v>311</v>
      </c>
      <c r="J68" t="s">
        <v>740</v>
      </c>
      <c r="L68" t="s">
        <v>336</v>
      </c>
      <c r="M68" t="s">
        <v>335</v>
      </c>
      <c r="N68" t="s">
        <v>473</v>
      </c>
      <c r="O68">
        <v>144</v>
      </c>
      <c r="P68">
        <v>21</v>
      </c>
      <c r="Q68" t="s">
        <v>342</v>
      </c>
      <c r="T68" s="260"/>
    </row>
    <row r="69" spans="6:20" customFormat="1" x14ac:dyDescent="0.25">
      <c r="F69" s="266"/>
      <c r="G69" t="s">
        <v>340</v>
      </c>
      <c r="H69" t="s">
        <v>474</v>
      </c>
      <c r="I69" s="268" t="s">
        <v>311</v>
      </c>
      <c r="J69" t="s">
        <v>741</v>
      </c>
      <c r="L69" t="s">
        <v>336</v>
      </c>
      <c r="M69" t="s">
        <v>335</v>
      </c>
      <c r="N69" t="s">
        <v>475</v>
      </c>
      <c r="O69">
        <v>5</v>
      </c>
      <c r="P69">
        <v>21</v>
      </c>
      <c r="Q69" t="s">
        <v>342</v>
      </c>
      <c r="T69" s="260"/>
    </row>
    <row r="70" spans="6:20" customFormat="1" x14ac:dyDescent="0.25">
      <c r="F70" s="266"/>
      <c r="G70" t="s">
        <v>340</v>
      </c>
      <c r="H70" t="s">
        <v>476</v>
      </c>
      <c r="I70" s="268" t="s">
        <v>311</v>
      </c>
      <c r="J70" t="s">
        <v>742</v>
      </c>
      <c r="K70" t="str">
        <f t="shared" ref="K70:K131" si="3">IF(J70="","",IF(T70="@11\QBorrado@","Borrado",""))</f>
        <v/>
      </c>
      <c r="L70" t="s">
        <v>336</v>
      </c>
      <c r="M70" t="s">
        <v>335</v>
      </c>
      <c r="N70" t="s">
        <v>477</v>
      </c>
      <c r="O70">
        <v>2</v>
      </c>
      <c r="P70">
        <v>21</v>
      </c>
      <c r="Q70" t="s">
        <v>342</v>
      </c>
      <c r="T70" s="260"/>
    </row>
    <row r="71" spans="6:20" customFormat="1" x14ac:dyDescent="0.25">
      <c r="F71" s="266"/>
      <c r="G71" t="s">
        <v>340</v>
      </c>
      <c r="H71" t="s">
        <v>478</v>
      </c>
      <c r="I71" s="268" t="s">
        <v>311</v>
      </c>
      <c r="J71" t="s">
        <v>743</v>
      </c>
      <c r="K71" t="str">
        <f t="shared" si="3"/>
        <v/>
      </c>
      <c r="L71" t="s">
        <v>336</v>
      </c>
      <c r="M71" t="s">
        <v>335</v>
      </c>
      <c r="N71" t="s">
        <v>479</v>
      </c>
      <c r="O71">
        <v>219</v>
      </c>
      <c r="P71">
        <v>21</v>
      </c>
      <c r="Q71" t="s">
        <v>342</v>
      </c>
      <c r="T71" s="260"/>
    </row>
    <row r="72" spans="6:20" customFormat="1" x14ac:dyDescent="0.25">
      <c r="F72" s="266"/>
      <c r="G72" t="s">
        <v>340</v>
      </c>
      <c r="H72" t="s">
        <v>480</v>
      </c>
      <c r="I72" s="268" t="s">
        <v>311</v>
      </c>
      <c r="J72" t="s">
        <v>744</v>
      </c>
      <c r="K72" t="str">
        <f t="shared" si="3"/>
        <v/>
      </c>
      <c r="L72" t="s">
        <v>336</v>
      </c>
      <c r="M72" t="s">
        <v>335</v>
      </c>
      <c r="N72" t="s">
        <v>481</v>
      </c>
      <c r="O72">
        <v>18</v>
      </c>
      <c r="P72">
        <v>21</v>
      </c>
      <c r="Q72" t="s">
        <v>342</v>
      </c>
      <c r="T72" s="260"/>
    </row>
    <row r="73" spans="6:20" customFormat="1" x14ac:dyDescent="0.25">
      <c r="F73" s="266"/>
      <c r="G73" t="s">
        <v>340</v>
      </c>
      <c r="H73" t="s">
        <v>482</v>
      </c>
      <c r="I73" s="268" t="s">
        <v>311</v>
      </c>
      <c r="J73" t="s">
        <v>745</v>
      </c>
      <c r="K73" t="str">
        <f t="shared" si="3"/>
        <v/>
      </c>
      <c r="L73" t="s">
        <v>336</v>
      </c>
      <c r="M73" t="s">
        <v>335</v>
      </c>
      <c r="N73" t="s">
        <v>483</v>
      </c>
      <c r="O73">
        <v>5</v>
      </c>
      <c r="P73">
        <v>21</v>
      </c>
      <c r="Q73" t="s">
        <v>342</v>
      </c>
      <c r="T73" s="260"/>
    </row>
    <row r="74" spans="6:20" customFormat="1" x14ac:dyDescent="0.25">
      <c r="F74" s="266"/>
      <c r="G74">
        <v>8401437214</v>
      </c>
      <c r="H74" t="s">
        <v>484</v>
      </c>
      <c r="I74" s="268" t="s">
        <v>311</v>
      </c>
      <c r="J74" t="s">
        <v>746</v>
      </c>
      <c r="K74" t="str">
        <f t="shared" si="3"/>
        <v/>
      </c>
      <c r="L74" t="s">
        <v>336</v>
      </c>
      <c r="M74" t="s">
        <v>335</v>
      </c>
      <c r="N74" t="s">
        <v>485</v>
      </c>
      <c r="O74">
        <v>32</v>
      </c>
      <c r="P74">
        <v>21</v>
      </c>
      <c r="Q74" t="s">
        <v>342</v>
      </c>
      <c r="T74" s="260"/>
    </row>
    <row r="75" spans="6:20" customFormat="1" x14ac:dyDescent="0.25">
      <c r="F75" s="266"/>
      <c r="G75" t="s">
        <v>340</v>
      </c>
      <c r="H75" t="s">
        <v>486</v>
      </c>
      <c r="I75" s="268" t="s">
        <v>311</v>
      </c>
      <c r="J75" t="s">
        <v>747</v>
      </c>
      <c r="K75" t="str">
        <f t="shared" si="3"/>
        <v/>
      </c>
      <c r="L75" t="s">
        <v>337</v>
      </c>
      <c r="M75" t="s">
        <v>335</v>
      </c>
      <c r="N75" t="s">
        <v>487</v>
      </c>
      <c r="O75">
        <v>3</v>
      </c>
      <c r="P75">
        <v>21</v>
      </c>
      <c r="Q75" t="s">
        <v>342</v>
      </c>
      <c r="T75" s="260"/>
    </row>
    <row r="76" spans="6:20" customFormat="1" x14ac:dyDescent="0.25">
      <c r="F76" s="266"/>
      <c r="G76" t="s">
        <v>340</v>
      </c>
      <c r="H76" t="s">
        <v>488</v>
      </c>
      <c r="I76" s="268" t="s">
        <v>311</v>
      </c>
      <c r="J76" t="s">
        <v>748</v>
      </c>
      <c r="K76" t="str">
        <f t="shared" si="3"/>
        <v/>
      </c>
      <c r="L76" t="s">
        <v>336</v>
      </c>
      <c r="M76" t="s">
        <v>335</v>
      </c>
      <c r="N76" t="s">
        <v>489</v>
      </c>
      <c r="O76">
        <v>73</v>
      </c>
      <c r="P76">
        <v>21</v>
      </c>
      <c r="Q76" t="s">
        <v>342</v>
      </c>
      <c r="T76" s="260"/>
    </row>
    <row r="77" spans="6:20" customFormat="1" x14ac:dyDescent="0.25">
      <c r="F77" s="266"/>
      <c r="G77" t="s">
        <v>340</v>
      </c>
      <c r="H77" t="s">
        <v>490</v>
      </c>
      <c r="I77" s="268" t="s">
        <v>311</v>
      </c>
      <c r="J77" t="s">
        <v>749</v>
      </c>
      <c r="K77" t="str">
        <f t="shared" si="3"/>
        <v/>
      </c>
      <c r="L77" t="s">
        <v>336</v>
      </c>
      <c r="M77" t="s">
        <v>335</v>
      </c>
      <c r="N77" t="s">
        <v>491</v>
      </c>
      <c r="O77">
        <v>96</v>
      </c>
      <c r="P77">
        <v>21</v>
      </c>
      <c r="Q77" t="s">
        <v>342</v>
      </c>
      <c r="T77" s="260"/>
    </row>
    <row r="78" spans="6:20" customFormat="1" x14ac:dyDescent="0.25">
      <c r="F78" s="266"/>
      <c r="G78" t="s">
        <v>340</v>
      </c>
      <c r="H78" t="s">
        <v>492</v>
      </c>
      <c r="I78" s="268" t="s">
        <v>311</v>
      </c>
      <c r="J78" t="s">
        <v>750</v>
      </c>
      <c r="K78" t="str">
        <f t="shared" si="3"/>
        <v/>
      </c>
      <c r="L78" t="s">
        <v>336</v>
      </c>
      <c r="M78" t="s">
        <v>335</v>
      </c>
      <c r="N78" t="s">
        <v>493</v>
      </c>
      <c r="O78">
        <v>2</v>
      </c>
      <c r="P78">
        <v>21</v>
      </c>
      <c r="Q78" t="s">
        <v>342</v>
      </c>
      <c r="T78" s="260"/>
    </row>
    <row r="79" spans="6:20" customFormat="1" x14ac:dyDescent="0.25">
      <c r="F79" s="266"/>
      <c r="G79" t="s">
        <v>340</v>
      </c>
      <c r="H79" t="s">
        <v>494</v>
      </c>
      <c r="I79" s="268" t="s">
        <v>311</v>
      </c>
      <c r="J79" t="s">
        <v>751</v>
      </c>
      <c r="K79" t="str">
        <f t="shared" si="3"/>
        <v/>
      </c>
      <c r="L79" t="s">
        <v>336</v>
      </c>
      <c r="M79" t="s">
        <v>335</v>
      </c>
      <c r="N79" t="s">
        <v>495</v>
      </c>
      <c r="O79">
        <v>10</v>
      </c>
      <c r="P79">
        <v>21</v>
      </c>
      <c r="Q79" t="s">
        <v>342</v>
      </c>
      <c r="T79" s="260"/>
    </row>
    <row r="80" spans="6:20" customFormat="1" x14ac:dyDescent="0.25">
      <c r="F80" s="266"/>
      <c r="G80" t="s">
        <v>340</v>
      </c>
      <c r="H80" t="s">
        <v>496</v>
      </c>
      <c r="I80" s="268" t="s">
        <v>311</v>
      </c>
      <c r="J80" t="s">
        <v>752</v>
      </c>
      <c r="K80" t="str">
        <f t="shared" si="3"/>
        <v/>
      </c>
      <c r="L80" t="s">
        <v>336</v>
      </c>
      <c r="M80" t="s">
        <v>335</v>
      </c>
      <c r="N80" t="s">
        <v>497</v>
      </c>
      <c r="O80">
        <v>5</v>
      </c>
      <c r="P80">
        <v>21</v>
      </c>
      <c r="Q80" t="s">
        <v>342</v>
      </c>
      <c r="T80" s="260"/>
    </row>
    <row r="81" spans="6:20" customFormat="1" x14ac:dyDescent="0.25">
      <c r="F81" s="266"/>
      <c r="G81" t="s">
        <v>340</v>
      </c>
      <c r="H81" t="s">
        <v>498</v>
      </c>
      <c r="I81" s="268" t="s">
        <v>311</v>
      </c>
      <c r="J81" t="s">
        <v>753</v>
      </c>
      <c r="K81" t="str">
        <f t="shared" si="3"/>
        <v/>
      </c>
      <c r="L81" t="s">
        <v>336</v>
      </c>
      <c r="M81" t="s">
        <v>335</v>
      </c>
      <c r="N81" t="s">
        <v>499</v>
      </c>
      <c r="O81">
        <v>73</v>
      </c>
      <c r="P81">
        <v>21</v>
      </c>
      <c r="Q81" t="s">
        <v>342</v>
      </c>
      <c r="T81" s="260"/>
    </row>
    <row r="82" spans="6:20" customFormat="1" x14ac:dyDescent="0.25">
      <c r="F82" s="266"/>
      <c r="G82" t="s">
        <v>340</v>
      </c>
      <c r="H82" t="s">
        <v>500</v>
      </c>
      <c r="I82" s="268" t="s">
        <v>311</v>
      </c>
      <c r="J82" t="s">
        <v>754</v>
      </c>
      <c r="K82" t="str">
        <f t="shared" si="3"/>
        <v/>
      </c>
      <c r="L82" t="s">
        <v>336</v>
      </c>
      <c r="M82" t="s">
        <v>335</v>
      </c>
      <c r="N82" t="s">
        <v>501</v>
      </c>
      <c r="O82">
        <v>73</v>
      </c>
      <c r="P82">
        <v>21</v>
      </c>
      <c r="Q82" t="s">
        <v>342</v>
      </c>
      <c r="T82" s="260"/>
    </row>
    <row r="83" spans="6:20" customFormat="1" x14ac:dyDescent="0.25">
      <c r="F83" s="266"/>
      <c r="G83" t="s">
        <v>340</v>
      </c>
      <c r="H83" t="s">
        <v>502</v>
      </c>
      <c r="I83" s="268" t="s">
        <v>311</v>
      </c>
      <c r="J83" t="s">
        <v>755</v>
      </c>
      <c r="K83" t="str">
        <f t="shared" si="3"/>
        <v/>
      </c>
      <c r="L83" t="s">
        <v>336</v>
      </c>
      <c r="M83" t="s">
        <v>335</v>
      </c>
      <c r="N83" t="s">
        <v>503</v>
      </c>
      <c r="O83">
        <v>73</v>
      </c>
      <c r="P83">
        <v>21</v>
      </c>
      <c r="Q83" t="s">
        <v>342</v>
      </c>
      <c r="T83" s="260"/>
    </row>
    <row r="84" spans="6:20" customFormat="1" x14ac:dyDescent="0.25">
      <c r="F84" s="266"/>
      <c r="G84" t="s">
        <v>340</v>
      </c>
      <c r="H84" t="s">
        <v>504</v>
      </c>
      <c r="I84" s="268" t="s">
        <v>311</v>
      </c>
      <c r="J84" t="s">
        <v>756</v>
      </c>
      <c r="K84" t="str">
        <f t="shared" si="3"/>
        <v/>
      </c>
      <c r="L84" t="s">
        <v>336</v>
      </c>
      <c r="M84" t="s">
        <v>335</v>
      </c>
      <c r="N84" t="s">
        <v>505</v>
      </c>
      <c r="O84">
        <v>292</v>
      </c>
      <c r="P84">
        <v>21</v>
      </c>
      <c r="Q84" t="s">
        <v>342</v>
      </c>
      <c r="T84" s="260"/>
    </row>
    <row r="85" spans="6:20" customFormat="1" x14ac:dyDescent="0.25">
      <c r="F85" s="266"/>
      <c r="G85" t="s">
        <v>340</v>
      </c>
      <c r="H85" t="s">
        <v>506</v>
      </c>
      <c r="I85" s="268" t="s">
        <v>311</v>
      </c>
      <c r="J85" t="s">
        <v>757</v>
      </c>
      <c r="K85" t="str">
        <f t="shared" si="3"/>
        <v/>
      </c>
      <c r="L85" t="s">
        <v>336</v>
      </c>
      <c r="M85" t="s">
        <v>335</v>
      </c>
      <c r="N85" t="s">
        <v>507</v>
      </c>
      <c r="O85">
        <v>72</v>
      </c>
      <c r="P85">
        <v>21</v>
      </c>
      <c r="Q85" t="s">
        <v>342</v>
      </c>
      <c r="T85" s="260"/>
    </row>
    <row r="86" spans="6:20" customFormat="1" x14ac:dyDescent="0.25">
      <c r="F86" s="266"/>
      <c r="G86" t="s">
        <v>340</v>
      </c>
      <c r="H86" t="s">
        <v>508</v>
      </c>
      <c r="I86" s="268" t="s">
        <v>311</v>
      </c>
      <c r="J86" t="s">
        <v>758</v>
      </c>
      <c r="K86" t="str">
        <f t="shared" si="3"/>
        <v/>
      </c>
      <c r="L86" t="s">
        <v>336</v>
      </c>
      <c r="M86" t="s">
        <v>335</v>
      </c>
      <c r="N86" t="s">
        <v>509</v>
      </c>
      <c r="O86">
        <v>146</v>
      </c>
      <c r="P86">
        <v>21</v>
      </c>
      <c r="Q86" t="s">
        <v>342</v>
      </c>
      <c r="T86" s="260"/>
    </row>
    <row r="87" spans="6:20" customFormat="1" x14ac:dyDescent="0.25">
      <c r="F87" s="266"/>
      <c r="G87" t="s">
        <v>340</v>
      </c>
      <c r="H87" t="s">
        <v>510</v>
      </c>
      <c r="I87" s="268" t="s">
        <v>311</v>
      </c>
      <c r="J87" t="s">
        <v>759</v>
      </c>
      <c r="K87" t="str">
        <f t="shared" si="3"/>
        <v/>
      </c>
      <c r="L87" t="s">
        <v>336</v>
      </c>
      <c r="M87" t="s">
        <v>335</v>
      </c>
      <c r="N87" t="s">
        <v>511</v>
      </c>
      <c r="O87">
        <v>91</v>
      </c>
      <c r="P87">
        <v>21</v>
      </c>
      <c r="Q87" t="s">
        <v>342</v>
      </c>
      <c r="T87" s="260"/>
    </row>
    <row r="88" spans="6:20" customFormat="1" x14ac:dyDescent="0.25">
      <c r="F88" s="266"/>
      <c r="G88" t="s">
        <v>340</v>
      </c>
      <c r="H88" t="s">
        <v>512</v>
      </c>
      <c r="I88" s="268" t="s">
        <v>311</v>
      </c>
      <c r="J88" t="s">
        <v>760</v>
      </c>
      <c r="K88" t="str">
        <f t="shared" si="3"/>
        <v/>
      </c>
      <c r="L88" t="s">
        <v>337</v>
      </c>
      <c r="M88" t="s">
        <v>335</v>
      </c>
      <c r="N88" t="s">
        <v>513</v>
      </c>
      <c r="O88">
        <v>219</v>
      </c>
      <c r="P88">
        <v>21</v>
      </c>
      <c r="Q88" t="s">
        <v>342</v>
      </c>
      <c r="T88" s="260"/>
    </row>
    <row r="89" spans="6:20" customFormat="1" x14ac:dyDescent="0.25">
      <c r="F89" s="266"/>
      <c r="G89" t="s">
        <v>340</v>
      </c>
      <c r="H89" t="s">
        <v>514</v>
      </c>
      <c r="I89" s="268" t="s">
        <v>311</v>
      </c>
      <c r="J89" t="s">
        <v>761</v>
      </c>
      <c r="K89" t="str">
        <f t="shared" si="3"/>
        <v/>
      </c>
      <c r="L89" t="s">
        <v>336</v>
      </c>
      <c r="M89" t="s">
        <v>335</v>
      </c>
      <c r="N89" t="s">
        <v>515</v>
      </c>
      <c r="O89">
        <v>365</v>
      </c>
      <c r="P89">
        <v>21</v>
      </c>
      <c r="Q89" t="s">
        <v>342</v>
      </c>
      <c r="T89" s="260"/>
    </row>
    <row r="90" spans="6:20" customFormat="1" x14ac:dyDescent="0.25">
      <c r="F90" s="266"/>
      <c r="G90" t="s">
        <v>340</v>
      </c>
      <c r="H90" t="s">
        <v>516</v>
      </c>
      <c r="I90" s="268" t="s">
        <v>311</v>
      </c>
      <c r="J90" t="s">
        <v>762</v>
      </c>
      <c r="K90" t="str">
        <f t="shared" si="3"/>
        <v/>
      </c>
      <c r="L90" t="s">
        <v>336</v>
      </c>
      <c r="M90" t="s">
        <v>335</v>
      </c>
      <c r="N90" t="s">
        <v>517</v>
      </c>
      <c r="O90">
        <v>73</v>
      </c>
      <c r="P90">
        <v>21</v>
      </c>
      <c r="Q90" t="s">
        <v>342</v>
      </c>
      <c r="T90" s="260"/>
    </row>
    <row r="91" spans="6:20" customFormat="1" x14ac:dyDescent="0.25">
      <c r="F91" s="266"/>
      <c r="G91" t="s">
        <v>340</v>
      </c>
      <c r="H91" t="s">
        <v>518</v>
      </c>
      <c r="I91" s="268" t="s">
        <v>311</v>
      </c>
      <c r="J91" t="s">
        <v>763</v>
      </c>
      <c r="K91" t="str">
        <f t="shared" si="3"/>
        <v/>
      </c>
      <c r="L91" t="s">
        <v>336</v>
      </c>
      <c r="M91" t="s">
        <v>335</v>
      </c>
      <c r="N91" t="s">
        <v>519</v>
      </c>
      <c r="O91">
        <v>73</v>
      </c>
      <c r="P91">
        <v>21</v>
      </c>
      <c r="Q91" t="s">
        <v>342</v>
      </c>
      <c r="T91" s="260"/>
    </row>
    <row r="92" spans="6:20" customFormat="1" x14ac:dyDescent="0.25">
      <c r="F92" s="266"/>
      <c r="G92" t="s">
        <v>340</v>
      </c>
      <c r="H92" t="s">
        <v>520</v>
      </c>
      <c r="I92" s="268" t="s">
        <v>311</v>
      </c>
      <c r="J92" t="s">
        <v>764</v>
      </c>
      <c r="K92" t="str">
        <f t="shared" si="3"/>
        <v/>
      </c>
      <c r="L92" t="s">
        <v>336</v>
      </c>
      <c r="M92" t="s">
        <v>335</v>
      </c>
      <c r="N92" t="s">
        <v>521</v>
      </c>
      <c r="O92">
        <v>438</v>
      </c>
      <c r="P92">
        <v>21</v>
      </c>
      <c r="Q92" t="s">
        <v>342</v>
      </c>
      <c r="T92" s="260"/>
    </row>
    <row r="93" spans="6:20" customFormat="1" x14ac:dyDescent="0.25">
      <c r="F93" s="266"/>
      <c r="G93" t="s">
        <v>340</v>
      </c>
      <c r="H93" t="s">
        <v>522</v>
      </c>
      <c r="I93" s="268" t="s">
        <v>311</v>
      </c>
      <c r="J93" t="s">
        <v>765</v>
      </c>
      <c r="K93" t="str">
        <f t="shared" si="3"/>
        <v/>
      </c>
      <c r="L93" t="s">
        <v>336</v>
      </c>
      <c r="M93" t="s">
        <v>335</v>
      </c>
      <c r="N93" t="s">
        <v>523</v>
      </c>
      <c r="O93">
        <v>2</v>
      </c>
      <c r="P93">
        <v>21</v>
      </c>
      <c r="Q93" t="s">
        <v>353</v>
      </c>
      <c r="T93" s="260"/>
    </row>
    <row r="94" spans="6:20" customFormat="1" x14ac:dyDescent="0.25">
      <c r="F94" s="266"/>
      <c r="G94" t="s">
        <v>340</v>
      </c>
      <c r="H94" t="s">
        <v>524</v>
      </c>
      <c r="I94" s="268" t="s">
        <v>311</v>
      </c>
      <c r="J94" t="s">
        <v>766</v>
      </c>
      <c r="K94" t="str">
        <f t="shared" si="3"/>
        <v/>
      </c>
      <c r="L94" t="s">
        <v>336</v>
      </c>
      <c r="M94" t="s">
        <v>335</v>
      </c>
      <c r="N94" t="s">
        <v>525</v>
      </c>
      <c r="O94">
        <v>1</v>
      </c>
      <c r="P94">
        <v>21</v>
      </c>
      <c r="Q94" t="s">
        <v>353</v>
      </c>
      <c r="T94" s="260"/>
    </row>
    <row r="95" spans="6:20" customFormat="1" x14ac:dyDescent="0.25">
      <c r="F95" s="266"/>
      <c r="G95" t="s">
        <v>340</v>
      </c>
      <c r="H95" t="s">
        <v>526</v>
      </c>
      <c r="I95" s="268" t="s">
        <v>311</v>
      </c>
      <c r="J95" t="s">
        <v>767</v>
      </c>
      <c r="K95" t="str">
        <f t="shared" si="3"/>
        <v/>
      </c>
      <c r="L95" t="s">
        <v>336</v>
      </c>
      <c r="M95" t="s">
        <v>335</v>
      </c>
      <c r="N95" t="s">
        <v>527</v>
      </c>
      <c r="O95">
        <v>6</v>
      </c>
      <c r="P95">
        <v>21</v>
      </c>
      <c r="Q95" t="s">
        <v>353</v>
      </c>
      <c r="T95" s="260"/>
    </row>
    <row r="96" spans="6:20" customFormat="1" x14ac:dyDescent="0.25">
      <c r="F96" s="266"/>
      <c r="G96" t="s">
        <v>340</v>
      </c>
      <c r="H96" t="s">
        <v>528</v>
      </c>
      <c r="I96" s="268" t="s">
        <v>311</v>
      </c>
      <c r="J96" t="s">
        <v>768</v>
      </c>
      <c r="K96" t="str">
        <f t="shared" si="3"/>
        <v/>
      </c>
      <c r="L96" t="s">
        <v>336</v>
      </c>
      <c r="M96" t="s">
        <v>335</v>
      </c>
      <c r="N96" t="s">
        <v>529</v>
      </c>
      <c r="O96">
        <v>16</v>
      </c>
      <c r="P96">
        <v>21</v>
      </c>
      <c r="Q96" t="s">
        <v>353</v>
      </c>
      <c r="T96" s="260"/>
    </row>
    <row r="97" spans="6:20" customFormat="1" x14ac:dyDescent="0.25">
      <c r="F97" s="266"/>
      <c r="G97" t="s">
        <v>340</v>
      </c>
      <c r="H97" t="s">
        <v>530</v>
      </c>
      <c r="I97" s="268" t="s">
        <v>311</v>
      </c>
      <c r="J97" t="s">
        <v>769</v>
      </c>
      <c r="K97" t="str">
        <f t="shared" si="3"/>
        <v/>
      </c>
      <c r="L97" t="s">
        <v>336</v>
      </c>
      <c r="M97" t="s">
        <v>335</v>
      </c>
      <c r="N97" t="s">
        <v>531</v>
      </c>
      <c r="O97">
        <v>146</v>
      </c>
      <c r="P97">
        <v>21</v>
      </c>
      <c r="Q97" t="s">
        <v>353</v>
      </c>
      <c r="T97" s="260"/>
    </row>
    <row r="98" spans="6:20" customFormat="1" x14ac:dyDescent="0.25">
      <c r="F98" s="266"/>
      <c r="G98" t="s">
        <v>340</v>
      </c>
      <c r="H98" t="s">
        <v>532</v>
      </c>
      <c r="I98" s="268" t="s">
        <v>311</v>
      </c>
      <c r="J98" t="s">
        <v>770</v>
      </c>
      <c r="K98" t="str">
        <f t="shared" si="3"/>
        <v/>
      </c>
      <c r="L98" t="s">
        <v>336</v>
      </c>
      <c r="M98" t="s">
        <v>335</v>
      </c>
      <c r="N98" t="s">
        <v>533</v>
      </c>
      <c r="O98">
        <v>73</v>
      </c>
      <c r="P98">
        <v>21</v>
      </c>
      <c r="Q98" t="s">
        <v>353</v>
      </c>
      <c r="T98" s="260"/>
    </row>
    <row r="99" spans="6:20" customFormat="1" x14ac:dyDescent="0.25">
      <c r="F99" s="266"/>
      <c r="G99" t="s">
        <v>340</v>
      </c>
      <c r="H99" t="s">
        <v>534</v>
      </c>
      <c r="I99" s="268" t="s">
        <v>311</v>
      </c>
      <c r="J99" t="s">
        <v>771</v>
      </c>
      <c r="K99" t="str">
        <f t="shared" si="3"/>
        <v/>
      </c>
      <c r="L99" t="s">
        <v>336</v>
      </c>
      <c r="M99" t="s">
        <v>335</v>
      </c>
      <c r="N99" t="s">
        <v>535</v>
      </c>
      <c r="O99">
        <v>73</v>
      </c>
      <c r="P99">
        <v>21</v>
      </c>
      <c r="Q99" t="s">
        <v>353</v>
      </c>
      <c r="T99" s="260"/>
    </row>
    <row r="100" spans="6:20" customFormat="1" x14ac:dyDescent="0.25">
      <c r="F100" s="266"/>
      <c r="G100" t="s">
        <v>340</v>
      </c>
      <c r="H100" t="s">
        <v>536</v>
      </c>
      <c r="I100" s="268" t="s">
        <v>311</v>
      </c>
      <c r="J100" t="s">
        <v>772</v>
      </c>
      <c r="K100" t="str">
        <f t="shared" si="3"/>
        <v/>
      </c>
      <c r="L100" t="s">
        <v>336</v>
      </c>
      <c r="M100" t="s">
        <v>335</v>
      </c>
      <c r="N100" t="s">
        <v>537</v>
      </c>
      <c r="O100">
        <v>44</v>
      </c>
      <c r="P100">
        <v>21</v>
      </c>
      <c r="Q100" t="s">
        <v>353</v>
      </c>
      <c r="T100" s="260"/>
    </row>
    <row r="101" spans="6:20" customFormat="1" x14ac:dyDescent="0.25">
      <c r="F101" s="266"/>
      <c r="G101" t="s">
        <v>340</v>
      </c>
      <c r="H101" t="s">
        <v>538</v>
      </c>
      <c r="I101" s="268" t="s">
        <v>311</v>
      </c>
      <c r="J101" t="s">
        <v>773</v>
      </c>
      <c r="K101" t="str">
        <f t="shared" si="3"/>
        <v/>
      </c>
      <c r="L101" t="s">
        <v>336</v>
      </c>
      <c r="M101" t="s">
        <v>335</v>
      </c>
      <c r="N101" t="s">
        <v>539</v>
      </c>
      <c r="O101">
        <v>1</v>
      </c>
      <c r="P101">
        <v>21</v>
      </c>
      <c r="Q101" t="s">
        <v>353</v>
      </c>
      <c r="T101" s="260"/>
    </row>
    <row r="102" spans="6:20" customFormat="1" x14ac:dyDescent="0.25">
      <c r="F102" s="266"/>
      <c r="G102" t="s">
        <v>340</v>
      </c>
      <c r="H102" t="s">
        <v>540</v>
      </c>
      <c r="I102" s="268" t="s">
        <v>311</v>
      </c>
      <c r="J102" t="s">
        <v>774</v>
      </c>
      <c r="K102" t="str">
        <f t="shared" si="3"/>
        <v/>
      </c>
      <c r="L102" t="s">
        <v>336</v>
      </c>
      <c r="M102" t="s">
        <v>335</v>
      </c>
      <c r="N102" t="s">
        <v>541</v>
      </c>
      <c r="O102">
        <v>146</v>
      </c>
      <c r="P102">
        <v>21</v>
      </c>
      <c r="Q102" t="s">
        <v>353</v>
      </c>
      <c r="T102" s="260"/>
    </row>
    <row r="103" spans="6:20" customFormat="1" x14ac:dyDescent="0.25">
      <c r="F103" s="266"/>
      <c r="G103" t="s">
        <v>340</v>
      </c>
      <c r="H103" t="s">
        <v>542</v>
      </c>
      <c r="I103" s="268" t="s">
        <v>311</v>
      </c>
      <c r="J103" t="s">
        <v>775</v>
      </c>
      <c r="K103" t="str">
        <f t="shared" si="3"/>
        <v/>
      </c>
      <c r="L103" t="s">
        <v>336</v>
      </c>
      <c r="M103" t="s">
        <v>335</v>
      </c>
      <c r="N103" t="s">
        <v>543</v>
      </c>
      <c r="O103">
        <v>73</v>
      </c>
      <c r="P103">
        <v>21</v>
      </c>
      <c r="Q103" t="s">
        <v>353</v>
      </c>
      <c r="T103" s="260"/>
    </row>
    <row r="104" spans="6:20" customFormat="1" x14ac:dyDescent="0.25">
      <c r="F104" s="266"/>
      <c r="G104" t="s">
        <v>340</v>
      </c>
      <c r="H104" t="s">
        <v>544</v>
      </c>
      <c r="I104" s="268" t="s">
        <v>311</v>
      </c>
      <c r="J104" t="s">
        <v>776</v>
      </c>
      <c r="K104" t="str">
        <f t="shared" si="3"/>
        <v/>
      </c>
      <c r="L104" t="s">
        <v>336</v>
      </c>
      <c r="M104" t="s">
        <v>335</v>
      </c>
      <c r="N104" t="s">
        <v>545</v>
      </c>
      <c r="O104">
        <v>2</v>
      </c>
      <c r="P104">
        <v>21</v>
      </c>
      <c r="Q104" t="s">
        <v>353</v>
      </c>
      <c r="T104" s="260"/>
    </row>
    <row r="105" spans="6:20" customFormat="1" x14ac:dyDescent="0.25">
      <c r="F105" s="266"/>
      <c r="G105" t="s">
        <v>340</v>
      </c>
      <c r="H105" t="s">
        <v>546</v>
      </c>
      <c r="I105" s="268" t="s">
        <v>311</v>
      </c>
      <c r="J105" t="s">
        <v>777</v>
      </c>
      <c r="K105" t="str">
        <f t="shared" si="3"/>
        <v/>
      </c>
      <c r="L105" t="s">
        <v>336</v>
      </c>
      <c r="M105" t="s">
        <v>335</v>
      </c>
      <c r="N105" t="s">
        <v>547</v>
      </c>
      <c r="O105">
        <v>1</v>
      </c>
      <c r="P105">
        <v>21</v>
      </c>
      <c r="Q105" t="s">
        <v>353</v>
      </c>
      <c r="T105" s="260"/>
    </row>
    <row r="106" spans="6:20" customFormat="1" x14ac:dyDescent="0.25">
      <c r="F106" s="266"/>
      <c r="G106" t="s">
        <v>340</v>
      </c>
      <c r="H106" t="s">
        <v>548</v>
      </c>
      <c r="I106" s="268" t="s">
        <v>311</v>
      </c>
      <c r="J106" t="s">
        <v>778</v>
      </c>
      <c r="K106" t="str">
        <f t="shared" si="3"/>
        <v/>
      </c>
      <c r="L106" t="s">
        <v>336</v>
      </c>
      <c r="M106" t="s">
        <v>335</v>
      </c>
      <c r="N106" t="s">
        <v>549</v>
      </c>
      <c r="O106">
        <v>1</v>
      </c>
      <c r="P106">
        <v>21</v>
      </c>
      <c r="Q106" t="s">
        <v>353</v>
      </c>
      <c r="T106" s="260"/>
    </row>
    <row r="107" spans="6:20" customFormat="1" x14ac:dyDescent="0.25">
      <c r="F107" s="266"/>
      <c r="G107" t="s">
        <v>340</v>
      </c>
      <c r="H107" t="s">
        <v>550</v>
      </c>
      <c r="I107" s="268" t="s">
        <v>311</v>
      </c>
      <c r="J107" t="s">
        <v>779</v>
      </c>
      <c r="K107" t="str">
        <f t="shared" si="3"/>
        <v/>
      </c>
      <c r="L107" t="s">
        <v>336</v>
      </c>
      <c r="M107" t="s">
        <v>335</v>
      </c>
      <c r="N107" t="s">
        <v>551</v>
      </c>
      <c r="O107">
        <v>2</v>
      </c>
      <c r="P107">
        <v>21</v>
      </c>
      <c r="Q107" t="s">
        <v>353</v>
      </c>
      <c r="T107" s="260"/>
    </row>
    <row r="108" spans="6:20" customFormat="1" x14ac:dyDescent="0.25">
      <c r="F108" s="266"/>
      <c r="G108" t="s">
        <v>340</v>
      </c>
      <c r="H108" t="s">
        <v>552</v>
      </c>
      <c r="I108" s="268" t="s">
        <v>311</v>
      </c>
      <c r="J108" t="s">
        <v>780</v>
      </c>
      <c r="K108" t="str">
        <f t="shared" si="3"/>
        <v/>
      </c>
      <c r="L108" t="s">
        <v>336</v>
      </c>
      <c r="M108" t="s">
        <v>335</v>
      </c>
      <c r="N108" t="s">
        <v>553</v>
      </c>
      <c r="O108">
        <v>54</v>
      </c>
      <c r="P108">
        <v>21</v>
      </c>
      <c r="Q108" t="s">
        <v>353</v>
      </c>
      <c r="T108" s="260"/>
    </row>
    <row r="109" spans="6:20" customFormat="1" x14ac:dyDescent="0.25">
      <c r="F109" s="266"/>
      <c r="G109" t="s">
        <v>340</v>
      </c>
      <c r="H109" t="s">
        <v>554</v>
      </c>
      <c r="I109" s="268" t="s">
        <v>311</v>
      </c>
      <c r="J109" t="s">
        <v>781</v>
      </c>
      <c r="K109" t="str">
        <f t="shared" si="3"/>
        <v/>
      </c>
      <c r="L109" t="s">
        <v>336</v>
      </c>
      <c r="M109" t="s">
        <v>335</v>
      </c>
      <c r="N109" t="s">
        <v>555</v>
      </c>
      <c r="O109">
        <v>146</v>
      </c>
      <c r="P109">
        <v>21</v>
      </c>
      <c r="Q109" t="s">
        <v>353</v>
      </c>
      <c r="T109" s="260"/>
    </row>
    <row r="110" spans="6:20" customFormat="1" x14ac:dyDescent="0.25">
      <c r="F110" s="266"/>
      <c r="G110" t="s">
        <v>340</v>
      </c>
      <c r="H110" t="s">
        <v>556</v>
      </c>
      <c r="I110" s="268" t="s">
        <v>311</v>
      </c>
      <c r="J110" t="s">
        <v>782</v>
      </c>
      <c r="K110" t="str">
        <f t="shared" si="3"/>
        <v/>
      </c>
      <c r="L110" t="s">
        <v>336</v>
      </c>
      <c r="M110" t="s">
        <v>335</v>
      </c>
      <c r="N110" t="s">
        <v>557</v>
      </c>
      <c r="O110">
        <v>18</v>
      </c>
      <c r="P110">
        <v>21</v>
      </c>
      <c r="Q110" t="s">
        <v>353</v>
      </c>
      <c r="T110" s="260"/>
    </row>
    <row r="111" spans="6:20" customFormat="1" x14ac:dyDescent="0.25">
      <c r="F111" s="266"/>
      <c r="G111" t="s">
        <v>340</v>
      </c>
      <c r="H111" t="s">
        <v>558</v>
      </c>
      <c r="I111" s="268" t="s">
        <v>311</v>
      </c>
      <c r="J111" t="s">
        <v>783</v>
      </c>
      <c r="K111" t="str">
        <f t="shared" si="3"/>
        <v/>
      </c>
      <c r="L111" t="s">
        <v>336</v>
      </c>
      <c r="M111" t="s">
        <v>335</v>
      </c>
      <c r="N111" t="s">
        <v>559</v>
      </c>
      <c r="O111">
        <v>5</v>
      </c>
      <c r="P111">
        <v>21</v>
      </c>
      <c r="Q111" t="s">
        <v>342</v>
      </c>
      <c r="T111" s="260"/>
    </row>
    <row r="112" spans="6:20" customFormat="1" x14ac:dyDescent="0.25">
      <c r="F112" s="266"/>
      <c r="G112" t="s">
        <v>340</v>
      </c>
      <c r="H112" t="s">
        <v>560</v>
      </c>
      <c r="I112" s="268" t="s">
        <v>311</v>
      </c>
      <c r="J112" t="s">
        <v>784</v>
      </c>
      <c r="K112" t="str">
        <f t="shared" si="3"/>
        <v/>
      </c>
      <c r="L112" t="s">
        <v>336</v>
      </c>
      <c r="M112" t="s">
        <v>335</v>
      </c>
      <c r="N112" t="s">
        <v>561</v>
      </c>
      <c r="O112">
        <v>36</v>
      </c>
      <c r="P112">
        <v>21</v>
      </c>
      <c r="Q112" t="s">
        <v>353</v>
      </c>
      <c r="T112" s="260"/>
    </row>
    <row r="113" spans="6:20" customFormat="1" x14ac:dyDescent="0.25">
      <c r="F113" s="266"/>
      <c r="G113" t="s">
        <v>340</v>
      </c>
      <c r="H113" t="s">
        <v>562</v>
      </c>
      <c r="I113" s="268" t="s">
        <v>311</v>
      </c>
      <c r="J113" t="s">
        <v>785</v>
      </c>
      <c r="K113" t="str">
        <f t="shared" si="3"/>
        <v/>
      </c>
      <c r="L113" t="s">
        <v>336</v>
      </c>
      <c r="M113" t="s">
        <v>335</v>
      </c>
      <c r="N113" t="s">
        <v>563</v>
      </c>
      <c r="O113">
        <v>3</v>
      </c>
      <c r="P113">
        <v>21</v>
      </c>
      <c r="Q113" t="s">
        <v>342</v>
      </c>
      <c r="T113" s="260"/>
    </row>
    <row r="114" spans="6:20" customFormat="1" x14ac:dyDescent="0.25">
      <c r="F114" s="266"/>
      <c r="G114" t="s">
        <v>340</v>
      </c>
      <c r="H114" t="s">
        <v>564</v>
      </c>
      <c r="I114" s="268" t="s">
        <v>311</v>
      </c>
      <c r="J114" t="s">
        <v>786</v>
      </c>
      <c r="K114" t="str">
        <f t="shared" si="3"/>
        <v/>
      </c>
      <c r="L114" t="s">
        <v>336</v>
      </c>
      <c r="M114" t="s">
        <v>335</v>
      </c>
      <c r="N114" t="s">
        <v>565</v>
      </c>
      <c r="O114">
        <v>146</v>
      </c>
      <c r="P114">
        <v>21</v>
      </c>
      <c r="Q114" t="s">
        <v>353</v>
      </c>
      <c r="T114" s="260"/>
    </row>
    <row r="115" spans="6:20" customFormat="1" x14ac:dyDescent="0.25">
      <c r="F115" s="266"/>
      <c r="G115" t="s">
        <v>340</v>
      </c>
      <c r="H115" t="s">
        <v>566</v>
      </c>
      <c r="I115" s="268" t="s">
        <v>311</v>
      </c>
      <c r="J115" t="s">
        <v>787</v>
      </c>
      <c r="K115" t="str">
        <f t="shared" si="3"/>
        <v/>
      </c>
      <c r="L115" t="s">
        <v>336</v>
      </c>
      <c r="M115" t="s">
        <v>335</v>
      </c>
      <c r="N115" t="s">
        <v>567</v>
      </c>
      <c r="O115">
        <v>73</v>
      </c>
      <c r="P115">
        <v>21</v>
      </c>
      <c r="Q115" t="s">
        <v>342</v>
      </c>
      <c r="T115" s="260"/>
    </row>
    <row r="116" spans="6:20" customFormat="1" x14ac:dyDescent="0.25">
      <c r="F116" s="266"/>
      <c r="G116" t="s">
        <v>340</v>
      </c>
      <c r="H116" t="s">
        <v>568</v>
      </c>
      <c r="I116" s="268" t="s">
        <v>311</v>
      </c>
      <c r="J116" t="s">
        <v>788</v>
      </c>
      <c r="K116" t="str">
        <f t="shared" si="3"/>
        <v/>
      </c>
      <c r="L116" t="s">
        <v>336</v>
      </c>
      <c r="M116" t="s">
        <v>335</v>
      </c>
      <c r="N116" t="s">
        <v>569</v>
      </c>
      <c r="O116">
        <v>5</v>
      </c>
      <c r="P116">
        <v>21</v>
      </c>
      <c r="Q116" t="s">
        <v>353</v>
      </c>
      <c r="T116" s="260"/>
    </row>
    <row r="117" spans="6:20" customFormat="1" x14ac:dyDescent="0.25">
      <c r="F117" s="266"/>
      <c r="G117" t="s">
        <v>340</v>
      </c>
      <c r="H117" t="s">
        <v>570</v>
      </c>
      <c r="I117" s="268" t="s">
        <v>311</v>
      </c>
      <c r="J117" t="s">
        <v>789</v>
      </c>
      <c r="K117" t="str">
        <f t="shared" si="3"/>
        <v/>
      </c>
      <c r="L117" t="s">
        <v>336</v>
      </c>
      <c r="M117" t="s">
        <v>335</v>
      </c>
      <c r="N117" t="s">
        <v>571</v>
      </c>
      <c r="O117">
        <v>5</v>
      </c>
      <c r="P117">
        <v>21</v>
      </c>
      <c r="Q117" t="s">
        <v>353</v>
      </c>
      <c r="T117" s="260"/>
    </row>
    <row r="118" spans="6:20" customFormat="1" x14ac:dyDescent="0.25">
      <c r="F118" s="266"/>
      <c r="G118" t="s">
        <v>340</v>
      </c>
      <c r="H118" t="s">
        <v>572</v>
      </c>
      <c r="I118" s="268" t="s">
        <v>311</v>
      </c>
      <c r="J118" t="s">
        <v>790</v>
      </c>
      <c r="K118" t="str">
        <f t="shared" si="3"/>
        <v/>
      </c>
      <c r="L118" t="s">
        <v>336</v>
      </c>
      <c r="M118" t="s">
        <v>335</v>
      </c>
      <c r="N118" t="s">
        <v>573</v>
      </c>
      <c r="O118">
        <v>18</v>
      </c>
      <c r="P118">
        <v>21</v>
      </c>
      <c r="Q118" t="s">
        <v>342</v>
      </c>
      <c r="T118" s="260"/>
    </row>
    <row r="119" spans="6:20" customFormat="1" x14ac:dyDescent="0.25">
      <c r="F119" s="266"/>
      <c r="G119" t="s">
        <v>340</v>
      </c>
      <c r="H119" t="s">
        <v>574</v>
      </c>
      <c r="I119" s="268" t="s">
        <v>311</v>
      </c>
      <c r="J119" t="s">
        <v>791</v>
      </c>
      <c r="K119" t="str">
        <f t="shared" si="3"/>
        <v/>
      </c>
      <c r="L119" t="s">
        <v>336</v>
      </c>
      <c r="M119" t="s">
        <v>335</v>
      </c>
      <c r="N119" t="s">
        <v>575</v>
      </c>
      <c r="O119">
        <v>18</v>
      </c>
      <c r="P119">
        <v>21</v>
      </c>
      <c r="Q119" t="s">
        <v>353</v>
      </c>
      <c r="T119" s="260"/>
    </row>
    <row r="120" spans="6:20" customFormat="1" x14ac:dyDescent="0.25">
      <c r="F120" s="266"/>
      <c r="G120" t="s">
        <v>340</v>
      </c>
      <c r="H120" t="s">
        <v>576</v>
      </c>
      <c r="I120" s="268" t="s">
        <v>311</v>
      </c>
      <c r="J120" t="s">
        <v>792</v>
      </c>
      <c r="K120" t="str">
        <f t="shared" si="3"/>
        <v/>
      </c>
      <c r="L120" t="s">
        <v>336</v>
      </c>
      <c r="M120" t="s">
        <v>335</v>
      </c>
      <c r="N120" t="s">
        <v>577</v>
      </c>
      <c r="O120">
        <v>18</v>
      </c>
      <c r="P120">
        <v>21</v>
      </c>
      <c r="Q120" t="s">
        <v>342</v>
      </c>
      <c r="T120" s="260"/>
    </row>
    <row r="121" spans="6:20" customFormat="1" x14ac:dyDescent="0.25">
      <c r="F121" s="266"/>
      <c r="G121" t="s">
        <v>340</v>
      </c>
      <c r="H121" t="s">
        <v>578</v>
      </c>
      <c r="I121" s="268" t="s">
        <v>311</v>
      </c>
      <c r="J121" t="s">
        <v>793</v>
      </c>
      <c r="K121" t="str">
        <f t="shared" si="3"/>
        <v/>
      </c>
      <c r="L121" t="s">
        <v>336</v>
      </c>
      <c r="M121" t="s">
        <v>335</v>
      </c>
      <c r="N121" t="s">
        <v>579</v>
      </c>
      <c r="O121">
        <v>18</v>
      </c>
      <c r="P121">
        <v>21</v>
      </c>
      <c r="Q121" t="s">
        <v>342</v>
      </c>
      <c r="T121" s="260"/>
    </row>
    <row r="122" spans="6:20" customFormat="1" x14ac:dyDescent="0.25">
      <c r="F122" s="266"/>
      <c r="G122" t="s">
        <v>340</v>
      </c>
      <c r="H122" t="s">
        <v>580</v>
      </c>
      <c r="I122" s="268" t="s">
        <v>311</v>
      </c>
      <c r="J122" t="s">
        <v>794</v>
      </c>
      <c r="K122" t="str">
        <f t="shared" si="3"/>
        <v/>
      </c>
      <c r="L122" t="s">
        <v>336</v>
      </c>
      <c r="M122" t="s">
        <v>335</v>
      </c>
      <c r="N122" t="s">
        <v>581</v>
      </c>
      <c r="O122">
        <v>28</v>
      </c>
      <c r="P122">
        <v>21</v>
      </c>
      <c r="Q122" t="s">
        <v>353</v>
      </c>
      <c r="T122" s="260"/>
    </row>
    <row r="123" spans="6:20" customFormat="1" x14ac:dyDescent="0.25">
      <c r="F123" s="266"/>
      <c r="G123" t="s">
        <v>340</v>
      </c>
      <c r="H123" t="s">
        <v>582</v>
      </c>
      <c r="I123" s="268" t="s">
        <v>311</v>
      </c>
      <c r="J123" t="s">
        <v>795</v>
      </c>
      <c r="K123" t="str">
        <f t="shared" si="3"/>
        <v/>
      </c>
      <c r="L123" t="s">
        <v>336</v>
      </c>
      <c r="M123" t="s">
        <v>335</v>
      </c>
      <c r="N123" t="s">
        <v>583</v>
      </c>
      <c r="O123">
        <v>37</v>
      </c>
      <c r="P123">
        <v>21</v>
      </c>
      <c r="Q123" t="s">
        <v>342</v>
      </c>
      <c r="T123" s="260"/>
    </row>
    <row r="124" spans="6:20" customFormat="1" x14ac:dyDescent="0.25">
      <c r="F124" s="266"/>
      <c r="G124" t="s">
        <v>340</v>
      </c>
      <c r="H124" t="s">
        <v>584</v>
      </c>
      <c r="I124" s="268" t="s">
        <v>311</v>
      </c>
      <c r="J124" t="s">
        <v>796</v>
      </c>
      <c r="K124" t="str">
        <f t="shared" si="3"/>
        <v/>
      </c>
      <c r="L124" t="s">
        <v>336</v>
      </c>
      <c r="M124" t="s">
        <v>335</v>
      </c>
      <c r="N124" t="s">
        <v>585</v>
      </c>
      <c r="O124">
        <v>72</v>
      </c>
      <c r="P124">
        <v>21</v>
      </c>
      <c r="Q124" t="s">
        <v>342</v>
      </c>
      <c r="T124" s="260"/>
    </row>
    <row r="125" spans="6:20" customFormat="1" x14ac:dyDescent="0.25">
      <c r="F125" s="266"/>
      <c r="G125" t="s">
        <v>340</v>
      </c>
      <c r="H125" t="s">
        <v>586</v>
      </c>
      <c r="I125" s="268" t="s">
        <v>311</v>
      </c>
      <c r="J125" t="s">
        <v>797</v>
      </c>
      <c r="K125" t="str">
        <f t="shared" si="3"/>
        <v/>
      </c>
      <c r="L125" t="s">
        <v>336</v>
      </c>
      <c r="M125" t="s">
        <v>335</v>
      </c>
      <c r="N125" t="s">
        <v>587</v>
      </c>
      <c r="O125">
        <v>72</v>
      </c>
      <c r="P125">
        <v>21</v>
      </c>
      <c r="Q125" t="s">
        <v>342</v>
      </c>
      <c r="T125" s="260"/>
    </row>
    <row r="126" spans="6:20" customFormat="1" x14ac:dyDescent="0.25">
      <c r="F126" s="266"/>
      <c r="G126" t="s">
        <v>340</v>
      </c>
      <c r="H126" t="s">
        <v>588</v>
      </c>
      <c r="I126" s="268" t="s">
        <v>311</v>
      </c>
      <c r="J126" t="s">
        <v>798</v>
      </c>
      <c r="K126" t="str">
        <f t="shared" si="3"/>
        <v/>
      </c>
      <c r="L126" t="s">
        <v>336</v>
      </c>
      <c r="M126" t="s">
        <v>335</v>
      </c>
      <c r="N126" t="s">
        <v>589</v>
      </c>
      <c r="O126">
        <v>72</v>
      </c>
      <c r="P126">
        <v>21</v>
      </c>
      <c r="Q126" t="s">
        <v>342</v>
      </c>
      <c r="T126" s="260"/>
    </row>
    <row r="127" spans="6:20" customFormat="1" x14ac:dyDescent="0.25">
      <c r="F127" s="266"/>
      <c r="G127" t="s">
        <v>340</v>
      </c>
      <c r="H127" t="s">
        <v>590</v>
      </c>
      <c r="I127" s="268" t="s">
        <v>311</v>
      </c>
      <c r="J127" t="s">
        <v>799</v>
      </c>
      <c r="K127" t="str">
        <f t="shared" si="3"/>
        <v/>
      </c>
      <c r="L127" t="s">
        <v>336</v>
      </c>
      <c r="M127" t="s">
        <v>335</v>
      </c>
      <c r="N127" t="s">
        <v>591</v>
      </c>
      <c r="O127">
        <v>72</v>
      </c>
      <c r="P127">
        <v>21</v>
      </c>
      <c r="Q127" t="s">
        <v>342</v>
      </c>
      <c r="T127" s="260"/>
    </row>
    <row r="128" spans="6:20" customFormat="1" x14ac:dyDescent="0.25">
      <c r="F128" s="266"/>
      <c r="G128" t="s">
        <v>340</v>
      </c>
      <c r="H128" t="s">
        <v>592</v>
      </c>
      <c r="I128" s="268" t="s">
        <v>311</v>
      </c>
      <c r="J128" t="s">
        <v>800</v>
      </c>
      <c r="K128" t="str">
        <f t="shared" si="3"/>
        <v/>
      </c>
      <c r="L128" t="s">
        <v>336</v>
      </c>
      <c r="M128" t="s">
        <v>335</v>
      </c>
      <c r="N128" t="s">
        <v>593</v>
      </c>
      <c r="O128">
        <v>72</v>
      </c>
      <c r="P128">
        <v>21</v>
      </c>
      <c r="Q128" t="s">
        <v>342</v>
      </c>
      <c r="T128" s="260"/>
    </row>
    <row r="129" spans="6:20" customFormat="1" x14ac:dyDescent="0.25">
      <c r="F129" s="266"/>
      <c r="G129" t="s">
        <v>340</v>
      </c>
      <c r="H129" t="s">
        <v>594</v>
      </c>
      <c r="I129" s="268" t="s">
        <v>311</v>
      </c>
      <c r="J129" t="s">
        <v>801</v>
      </c>
      <c r="K129" t="str">
        <f t="shared" si="3"/>
        <v/>
      </c>
      <c r="L129" t="s">
        <v>336</v>
      </c>
      <c r="M129" t="s">
        <v>335</v>
      </c>
      <c r="N129" t="s">
        <v>595</v>
      </c>
      <c r="O129">
        <v>30</v>
      </c>
      <c r="P129">
        <v>21</v>
      </c>
      <c r="Q129" t="s">
        <v>342</v>
      </c>
      <c r="T129" s="260"/>
    </row>
    <row r="130" spans="6:20" customFormat="1" x14ac:dyDescent="0.25">
      <c r="F130" s="266"/>
      <c r="G130" t="s">
        <v>340</v>
      </c>
      <c r="H130" t="s">
        <v>596</v>
      </c>
      <c r="I130" s="268" t="s">
        <v>311</v>
      </c>
      <c r="J130" t="s">
        <v>802</v>
      </c>
      <c r="K130" t="str">
        <f t="shared" si="3"/>
        <v/>
      </c>
      <c r="L130" t="s">
        <v>336</v>
      </c>
      <c r="M130" t="s">
        <v>335</v>
      </c>
      <c r="N130" t="s">
        <v>597</v>
      </c>
      <c r="O130">
        <v>1</v>
      </c>
      <c r="P130">
        <v>21</v>
      </c>
      <c r="Q130" t="s">
        <v>342</v>
      </c>
      <c r="T130" s="260"/>
    </row>
    <row r="131" spans="6:20" customFormat="1" x14ac:dyDescent="0.25">
      <c r="F131" s="266"/>
      <c r="G131" t="s">
        <v>340</v>
      </c>
      <c r="H131" t="s">
        <v>598</v>
      </c>
      <c r="I131" s="268" t="s">
        <v>311</v>
      </c>
      <c r="J131" t="s">
        <v>803</v>
      </c>
      <c r="K131" t="str">
        <f t="shared" si="3"/>
        <v/>
      </c>
      <c r="L131" t="s">
        <v>337</v>
      </c>
      <c r="M131" t="s">
        <v>335</v>
      </c>
      <c r="N131" t="s">
        <v>599</v>
      </c>
      <c r="O131">
        <v>73</v>
      </c>
      <c r="P131">
        <v>21</v>
      </c>
      <c r="Q131" t="s">
        <v>342</v>
      </c>
      <c r="T131" s="260"/>
    </row>
    <row r="132" spans="6:20" customFormat="1" x14ac:dyDescent="0.25">
      <c r="F132" s="266"/>
      <c r="G132" t="s">
        <v>340</v>
      </c>
      <c r="H132" t="s">
        <v>600</v>
      </c>
      <c r="I132" s="268" t="s">
        <v>311</v>
      </c>
      <c r="J132" t="s">
        <v>804</v>
      </c>
      <c r="K132" t="str">
        <f t="shared" ref="K132:K195" si="4">IF(J132="","",IF(T132="@11\QBorrado@","Borrado",""))</f>
        <v/>
      </c>
      <c r="L132" t="s">
        <v>336</v>
      </c>
      <c r="M132" t="s">
        <v>335</v>
      </c>
      <c r="N132" t="s">
        <v>601</v>
      </c>
      <c r="O132">
        <v>10</v>
      </c>
      <c r="P132">
        <v>21</v>
      </c>
      <c r="Q132" t="s">
        <v>342</v>
      </c>
      <c r="T132" s="260"/>
    </row>
    <row r="133" spans="6:20" customFormat="1" x14ac:dyDescent="0.25">
      <c r="F133" s="266"/>
      <c r="G133" t="s">
        <v>340</v>
      </c>
      <c r="H133" t="s">
        <v>602</v>
      </c>
      <c r="I133" s="268" t="s">
        <v>311</v>
      </c>
      <c r="J133" t="s">
        <v>805</v>
      </c>
      <c r="K133" t="str">
        <f t="shared" si="4"/>
        <v/>
      </c>
      <c r="L133" t="s">
        <v>336</v>
      </c>
      <c r="M133" t="s">
        <v>335</v>
      </c>
      <c r="N133" t="s">
        <v>603</v>
      </c>
      <c r="O133">
        <v>2</v>
      </c>
      <c r="P133">
        <v>21</v>
      </c>
      <c r="Q133" t="s">
        <v>342</v>
      </c>
      <c r="T133" s="260"/>
    </row>
    <row r="134" spans="6:20" customFormat="1" x14ac:dyDescent="0.25">
      <c r="F134" s="266"/>
      <c r="G134" t="s">
        <v>340</v>
      </c>
      <c r="H134" t="s">
        <v>604</v>
      </c>
      <c r="I134" s="268" t="s">
        <v>311</v>
      </c>
      <c r="J134" t="s">
        <v>806</v>
      </c>
      <c r="K134" t="str">
        <f t="shared" si="4"/>
        <v/>
      </c>
      <c r="L134" t="s">
        <v>336</v>
      </c>
      <c r="M134" t="s">
        <v>335</v>
      </c>
      <c r="N134" t="s">
        <v>605</v>
      </c>
      <c r="O134">
        <v>2</v>
      </c>
      <c r="P134">
        <v>21</v>
      </c>
      <c r="Q134" t="s">
        <v>342</v>
      </c>
      <c r="T134" s="260"/>
    </row>
    <row r="135" spans="6:20" customFormat="1" x14ac:dyDescent="0.25">
      <c r="F135" s="266"/>
      <c r="G135" t="s">
        <v>340</v>
      </c>
      <c r="H135" t="s">
        <v>606</v>
      </c>
      <c r="I135" s="268" t="s">
        <v>311</v>
      </c>
      <c r="J135" t="s">
        <v>807</v>
      </c>
      <c r="K135" t="str">
        <f t="shared" si="4"/>
        <v/>
      </c>
      <c r="L135" t="s">
        <v>336</v>
      </c>
      <c r="M135" t="s">
        <v>335</v>
      </c>
      <c r="N135" t="s">
        <v>607</v>
      </c>
      <c r="O135">
        <v>57</v>
      </c>
      <c r="P135">
        <v>21</v>
      </c>
      <c r="Q135" t="s">
        <v>342</v>
      </c>
      <c r="T135" s="260"/>
    </row>
    <row r="136" spans="6:20" customFormat="1" x14ac:dyDescent="0.25">
      <c r="F136" s="266"/>
      <c r="G136" t="s">
        <v>340</v>
      </c>
      <c r="H136" t="s">
        <v>608</v>
      </c>
      <c r="I136" s="268" t="s">
        <v>311</v>
      </c>
      <c r="J136" t="s">
        <v>808</v>
      </c>
      <c r="K136" t="str">
        <f t="shared" si="4"/>
        <v/>
      </c>
      <c r="L136" t="s">
        <v>336</v>
      </c>
      <c r="M136" t="s">
        <v>335</v>
      </c>
      <c r="N136" t="s">
        <v>609</v>
      </c>
      <c r="O136">
        <v>2</v>
      </c>
      <c r="P136">
        <v>21</v>
      </c>
      <c r="Q136" t="s">
        <v>342</v>
      </c>
      <c r="T136" s="260"/>
    </row>
    <row r="137" spans="6:20" customFormat="1" x14ac:dyDescent="0.25">
      <c r="F137" s="266"/>
      <c r="G137" t="s">
        <v>340</v>
      </c>
      <c r="H137" t="s">
        <v>610</v>
      </c>
      <c r="I137" s="268" t="s">
        <v>311</v>
      </c>
      <c r="J137" t="s">
        <v>809</v>
      </c>
      <c r="K137" t="str">
        <f t="shared" si="4"/>
        <v/>
      </c>
      <c r="L137" t="s">
        <v>336</v>
      </c>
      <c r="M137" t="s">
        <v>335</v>
      </c>
      <c r="N137" t="s">
        <v>611</v>
      </c>
      <c r="O137">
        <v>2</v>
      </c>
      <c r="P137">
        <v>21</v>
      </c>
      <c r="Q137" t="s">
        <v>342</v>
      </c>
      <c r="T137" s="260"/>
    </row>
    <row r="138" spans="6:20" customFormat="1" x14ac:dyDescent="0.25">
      <c r="F138" s="266"/>
      <c r="G138" t="s">
        <v>340</v>
      </c>
      <c r="H138" t="s">
        <v>612</v>
      </c>
      <c r="I138" s="268" t="s">
        <v>311</v>
      </c>
      <c r="J138" t="s">
        <v>810</v>
      </c>
      <c r="K138" t="str">
        <f t="shared" si="4"/>
        <v/>
      </c>
      <c r="L138" t="s">
        <v>336</v>
      </c>
      <c r="M138" t="s">
        <v>335</v>
      </c>
      <c r="N138" t="s">
        <v>613</v>
      </c>
      <c r="O138">
        <v>9</v>
      </c>
      <c r="P138">
        <v>21</v>
      </c>
      <c r="Q138" t="s">
        <v>342</v>
      </c>
      <c r="T138" s="260"/>
    </row>
    <row r="139" spans="6:20" customFormat="1" x14ac:dyDescent="0.25">
      <c r="F139" s="266"/>
      <c r="G139" t="s">
        <v>340</v>
      </c>
      <c r="H139" t="s">
        <v>614</v>
      </c>
      <c r="I139" s="268" t="s">
        <v>311</v>
      </c>
      <c r="J139" t="s">
        <v>811</v>
      </c>
      <c r="K139" t="str">
        <f t="shared" si="4"/>
        <v/>
      </c>
      <c r="L139" t="s">
        <v>336</v>
      </c>
      <c r="M139" t="s">
        <v>335</v>
      </c>
      <c r="N139" t="s">
        <v>615</v>
      </c>
      <c r="O139">
        <v>146</v>
      </c>
      <c r="P139">
        <v>21</v>
      </c>
      <c r="Q139" t="s">
        <v>342</v>
      </c>
      <c r="T139" s="260"/>
    </row>
    <row r="140" spans="6:20" customFormat="1" x14ac:dyDescent="0.25">
      <c r="F140" s="266"/>
      <c r="G140" t="s">
        <v>340</v>
      </c>
      <c r="H140" t="s">
        <v>616</v>
      </c>
      <c r="I140" s="268" t="s">
        <v>311</v>
      </c>
      <c r="J140" t="s">
        <v>812</v>
      </c>
      <c r="K140" t="str">
        <f t="shared" si="4"/>
        <v/>
      </c>
      <c r="L140" t="s">
        <v>336</v>
      </c>
      <c r="M140" t="s">
        <v>335</v>
      </c>
      <c r="N140" t="s">
        <v>617</v>
      </c>
      <c r="O140">
        <v>2</v>
      </c>
      <c r="P140">
        <v>21</v>
      </c>
      <c r="Q140" t="s">
        <v>342</v>
      </c>
      <c r="T140" s="260"/>
    </row>
    <row r="141" spans="6:20" customFormat="1" x14ac:dyDescent="0.25">
      <c r="F141" s="266"/>
      <c r="G141" t="s">
        <v>340</v>
      </c>
      <c r="H141" t="s">
        <v>618</v>
      </c>
      <c r="I141" s="268" t="s">
        <v>311</v>
      </c>
      <c r="J141" t="s">
        <v>813</v>
      </c>
      <c r="K141" t="str">
        <f t="shared" si="4"/>
        <v/>
      </c>
      <c r="L141" t="s">
        <v>336</v>
      </c>
      <c r="M141" t="s">
        <v>335</v>
      </c>
      <c r="N141" t="s">
        <v>619</v>
      </c>
      <c r="O141">
        <v>2</v>
      </c>
      <c r="P141">
        <v>21</v>
      </c>
      <c r="Q141" t="s">
        <v>342</v>
      </c>
      <c r="T141" s="260"/>
    </row>
    <row r="142" spans="6:20" customFormat="1" x14ac:dyDescent="0.25">
      <c r="F142" s="266"/>
      <c r="G142" t="s">
        <v>340</v>
      </c>
      <c r="H142" t="s">
        <v>620</v>
      </c>
      <c r="I142" s="268" t="s">
        <v>311</v>
      </c>
      <c r="J142" t="s">
        <v>814</v>
      </c>
      <c r="K142" t="str">
        <f t="shared" si="4"/>
        <v/>
      </c>
      <c r="L142" t="s">
        <v>336</v>
      </c>
      <c r="M142" t="s">
        <v>335</v>
      </c>
      <c r="N142" t="s">
        <v>621</v>
      </c>
      <c r="O142">
        <v>2</v>
      </c>
      <c r="P142">
        <v>21</v>
      </c>
      <c r="Q142" t="s">
        <v>342</v>
      </c>
      <c r="T142" s="260"/>
    </row>
    <row r="143" spans="6:20" customFormat="1" x14ac:dyDescent="0.25">
      <c r="F143" s="266"/>
      <c r="G143" t="s">
        <v>340</v>
      </c>
      <c r="H143" t="s">
        <v>622</v>
      </c>
      <c r="I143" s="268" t="s">
        <v>311</v>
      </c>
      <c r="J143" t="s">
        <v>815</v>
      </c>
      <c r="K143" t="str">
        <f t="shared" si="4"/>
        <v/>
      </c>
      <c r="L143" t="s">
        <v>336</v>
      </c>
      <c r="M143" t="s">
        <v>335</v>
      </c>
      <c r="N143" t="s">
        <v>623</v>
      </c>
      <c r="O143">
        <v>2</v>
      </c>
      <c r="P143">
        <v>21</v>
      </c>
      <c r="Q143" t="s">
        <v>342</v>
      </c>
      <c r="T143" s="260"/>
    </row>
    <row r="144" spans="6:20" customFormat="1" x14ac:dyDescent="0.25">
      <c r="F144" s="266"/>
      <c r="G144" t="s">
        <v>340</v>
      </c>
      <c r="H144" t="s">
        <v>624</v>
      </c>
      <c r="I144" s="268" t="s">
        <v>311</v>
      </c>
      <c r="J144" t="s">
        <v>816</v>
      </c>
      <c r="K144" t="str">
        <f t="shared" si="4"/>
        <v/>
      </c>
      <c r="L144" t="s">
        <v>336</v>
      </c>
      <c r="M144" t="s">
        <v>335</v>
      </c>
      <c r="N144" t="s">
        <v>625</v>
      </c>
      <c r="O144">
        <v>4</v>
      </c>
      <c r="P144">
        <v>21</v>
      </c>
      <c r="Q144" t="s">
        <v>342</v>
      </c>
      <c r="T144" s="260"/>
    </row>
    <row r="145" spans="6:20" customFormat="1" x14ac:dyDescent="0.25">
      <c r="F145" s="266"/>
      <c r="G145" t="s">
        <v>340</v>
      </c>
      <c r="H145" t="s">
        <v>626</v>
      </c>
      <c r="I145" s="268" t="s">
        <v>311</v>
      </c>
      <c r="J145" t="s">
        <v>817</v>
      </c>
      <c r="K145" t="str">
        <f t="shared" si="4"/>
        <v/>
      </c>
      <c r="L145" t="s">
        <v>336</v>
      </c>
      <c r="M145" t="s">
        <v>335</v>
      </c>
      <c r="N145" t="s">
        <v>627</v>
      </c>
      <c r="O145">
        <v>18</v>
      </c>
      <c r="P145">
        <v>21</v>
      </c>
      <c r="Q145" t="s">
        <v>342</v>
      </c>
      <c r="T145" s="260"/>
    </row>
    <row r="146" spans="6:20" customFormat="1" x14ac:dyDescent="0.25">
      <c r="F146" s="266"/>
      <c r="G146" t="s">
        <v>340</v>
      </c>
      <c r="H146" t="s">
        <v>628</v>
      </c>
      <c r="I146" s="268" t="s">
        <v>311</v>
      </c>
      <c r="J146" t="s">
        <v>818</v>
      </c>
      <c r="K146" t="str">
        <f t="shared" si="4"/>
        <v/>
      </c>
      <c r="L146" t="s">
        <v>336</v>
      </c>
      <c r="M146" t="s">
        <v>335</v>
      </c>
      <c r="N146" t="s">
        <v>629</v>
      </c>
      <c r="O146">
        <v>10</v>
      </c>
      <c r="P146">
        <v>21</v>
      </c>
      <c r="Q146" t="s">
        <v>342</v>
      </c>
      <c r="T146" s="260"/>
    </row>
    <row r="147" spans="6:20" customFormat="1" x14ac:dyDescent="0.25">
      <c r="F147" s="266"/>
      <c r="G147" t="s">
        <v>340</v>
      </c>
      <c r="H147" t="s">
        <v>630</v>
      </c>
      <c r="I147" s="268" t="s">
        <v>311</v>
      </c>
      <c r="J147" t="s">
        <v>819</v>
      </c>
      <c r="K147" t="str">
        <f t="shared" si="4"/>
        <v/>
      </c>
      <c r="L147" t="s">
        <v>336</v>
      </c>
      <c r="M147" t="s">
        <v>335</v>
      </c>
      <c r="N147" t="s">
        <v>631</v>
      </c>
      <c r="O147">
        <v>144</v>
      </c>
      <c r="P147">
        <v>21</v>
      </c>
      <c r="Q147" t="s">
        <v>342</v>
      </c>
      <c r="T147" s="260"/>
    </row>
    <row r="148" spans="6:20" customFormat="1" x14ac:dyDescent="0.25">
      <c r="F148" s="266"/>
      <c r="G148" t="s">
        <v>340</v>
      </c>
      <c r="H148" t="s">
        <v>632</v>
      </c>
      <c r="I148" s="268" t="s">
        <v>311</v>
      </c>
      <c r="J148" t="s">
        <v>820</v>
      </c>
      <c r="K148" t="str">
        <f t="shared" si="4"/>
        <v/>
      </c>
      <c r="L148" t="s">
        <v>336</v>
      </c>
      <c r="M148" t="s">
        <v>335</v>
      </c>
      <c r="N148" t="s">
        <v>633</v>
      </c>
      <c r="O148">
        <v>72</v>
      </c>
      <c r="P148">
        <v>21</v>
      </c>
      <c r="Q148" t="s">
        <v>342</v>
      </c>
      <c r="T148" s="260"/>
    </row>
    <row r="149" spans="6:20" customFormat="1" x14ac:dyDescent="0.25">
      <c r="F149" s="266"/>
      <c r="G149" t="s">
        <v>340</v>
      </c>
      <c r="H149" t="s">
        <v>634</v>
      </c>
      <c r="I149" s="268" t="s">
        <v>311</v>
      </c>
      <c r="J149" t="s">
        <v>821</v>
      </c>
      <c r="K149" t="str">
        <f t="shared" si="4"/>
        <v/>
      </c>
      <c r="L149" t="s">
        <v>336</v>
      </c>
      <c r="M149" t="s">
        <v>335</v>
      </c>
      <c r="N149" t="s">
        <v>635</v>
      </c>
      <c r="O149">
        <v>144</v>
      </c>
      <c r="P149">
        <v>21</v>
      </c>
      <c r="Q149" t="s">
        <v>342</v>
      </c>
      <c r="T149" s="260"/>
    </row>
    <row r="150" spans="6:20" customFormat="1" x14ac:dyDescent="0.25">
      <c r="F150" s="266"/>
      <c r="G150" t="s">
        <v>340</v>
      </c>
      <c r="H150" t="s">
        <v>636</v>
      </c>
      <c r="I150" s="268" t="s">
        <v>311</v>
      </c>
      <c r="J150" t="s">
        <v>822</v>
      </c>
      <c r="K150" t="str">
        <f t="shared" si="4"/>
        <v/>
      </c>
      <c r="L150" t="s">
        <v>336</v>
      </c>
      <c r="M150" t="s">
        <v>335</v>
      </c>
      <c r="N150" t="s">
        <v>637</v>
      </c>
      <c r="O150">
        <v>5</v>
      </c>
      <c r="P150">
        <v>21</v>
      </c>
      <c r="Q150" t="s">
        <v>342</v>
      </c>
      <c r="T150" s="260"/>
    </row>
    <row r="151" spans="6:20" customFormat="1" x14ac:dyDescent="0.25">
      <c r="F151" s="266"/>
      <c r="G151">
        <v>8401437216</v>
      </c>
      <c r="H151" t="s">
        <v>638</v>
      </c>
      <c r="I151" s="268" t="s">
        <v>311</v>
      </c>
      <c r="J151" t="s">
        <v>823</v>
      </c>
      <c r="K151" t="str">
        <f t="shared" si="4"/>
        <v/>
      </c>
      <c r="L151" t="s">
        <v>336</v>
      </c>
      <c r="M151" t="s">
        <v>335</v>
      </c>
      <c r="N151" t="s">
        <v>639</v>
      </c>
      <c r="O151">
        <v>60</v>
      </c>
      <c r="P151">
        <v>21</v>
      </c>
      <c r="Q151" t="s">
        <v>342</v>
      </c>
      <c r="T151" s="260"/>
    </row>
    <row r="152" spans="6:20" customFormat="1" x14ac:dyDescent="0.25">
      <c r="F152" s="266"/>
      <c r="G152" t="s">
        <v>340</v>
      </c>
      <c r="H152" t="s">
        <v>640</v>
      </c>
      <c r="I152" s="268" t="s">
        <v>311</v>
      </c>
      <c r="J152" t="s">
        <v>824</v>
      </c>
      <c r="K152" t="str">
        <f t="shared" si="4"/>
        <v/>
      </c>
      <c r="L152" t="s">
        <v>336</v>
      </c>
      <c r="M152" t="s">
        <v>335</v>
      </c>
      <c r="N152" t="s">
        <v>641</v>
      </c>
      <c r="O152">
        <v>1</v>
      </c>
      <c r="P152">
        <v>21</v>
      </c>
      <c r="Q152" t="s">
        <v>342</v>
      </c>
      <c r="T152" s="260"/>
    </row>
    <row r="153" spans="6:20" customFormat="1" x14ac:dyDescent="0.25">
      <c r="F153" s="266"/>
      <c r="G153" t="s">
        <v>340</v>
      </c>
      <c r="H153" t="s">
        <v>642</v>
      </c>
      <c r="I153" s="268" t="s">
        <v>311</v>
      </c>
      <c r="J153" t="s">
        <v>825</v>
      </c>
      <c r="K153" t="str">
        <f t="shared" si="4"/>
        <v/>
      </c>
      <c r="L153" t="s">
        <v>336</v>
      </c>
      <c r="M153" t="s">
        <v>335</v>
      </c>
      <c r="N153" t="s">
        <v>643</v>
      </c>
      <c r="O153">
        <v>1</v>
      </c>
      <c r="P153">
        <v>21</v>
      </c>
      <c r="Q153" t="s">
        <v>342</v>
      </c>
      <c r="T153" s="260"/>
    </row>
    <row r="154" spans="6:20" customFormat="1" x14ac:dyDescent="0.25">
      <c r="F154" s="266"/>
      <c r="G154" t="s">
        <v>340</v>
      </c>
      <c r="H154" t="s">
        <v>644</v>
      </c>
      <c r="I154" s="268" t="s">
        <v>311</v>
      </c>
      <c r="J154" t="s">
        <v>826</v>
      </c>
      <c r="K154" t="str">
        <f t="shared" si="4"/>
        <v/>
      </c>
      <c r="L154" t="s">
        <v>336</v>
      </c>
      <c r="M154" t="s">
        <v>335</v>
      </c>
      <c r="N154" t="s">
        <v>645</v>
      </c>
      <c r="O154">
        <v>72</v>
      </c>
      <c r="P154">
        <v>21</v>
      </c>
      <c r="Q154" t="s">
        <v>342</v>
      </c>
      <c r="T154" s="260"/>
    </row>
    <row r="155" spans="6:20" customFormat="1" x14ac:dyDescent="0.25">
      <c r="F155" s="266"/>
      <c r="G155" t="s">
        <v>340</v>
      </c>
      <c r="H155" t="s">
        <v>646</v>
      </c>
      <c r="I155" s="268" t="s">
        <v>311</v>
      </c>
      <c r="J155" t="s">
        <v>827</v>
      </c>
      <c r="K155" t="str">
        <f t="shared" si="4"/>
        <v/>
      </c>
      <c r="L155" t="s">
        <v>336</v>
      </c>
      <c r="M155" t="s">
        <v>335</v>
      </c>
      <c r="N155" t="s">
        <v>647</v>
      </c>
      <c r="O155">
        <v>20</v>
      </c>
      <c r="P155">
        <v>21</v>
      </c>
      <c r="Q155" t="s">
        <v>342</v>
      </c>
      <c r="T155" s="260"/>
    </row>
    <row r="156" spans="6:20" customFormat="1" x14ac:dyDescent="0.25">
      <c r="F156" s="266"/>
      <c r="G156" t="s">
        <v>340</v>
      </c>
      <c r="H156" t="s">
        <v>648</v>
      </c>
      <c r="I156" s="268" t="s">
        <v>311</v>
      </c>
      <c r="J156" t="s">
        <v>828</v>
      </c>
      <c r="K156" t="str">
        <f t="shared" si="4"/>
        <v/>
      </c>
      <c r="L156" t="s">
        <v>336</v>
      </c>
      <c r="M156" t="s">
        <v>335</v>
      </c>
      <c r="N156" t="s">
        <v>649</v>
      </c>
      <c r="O156">
        <v>5</v>
      </c>
      <c r="P156">
        <v>21</v>
      </c>
      <c r="Q156" t="s">
        <v>342</v>
      </c>
      <c r="T156" s="260"/>
    </row>
    <row r="157" spans="6:20" customFormat="1" x14ac:dyDescent="0.25">
      <c r="F157" s="266"/>
      <c r="G157" t="s">
        <v>340</v>
      </c>
      <c r="H157" t="s">
        <v>650</v>
      </c>
      <c r="I157" s="268" t="s">
        <v>311</v>
      </c>
      <c r="J157" t="s">
        <v>829</v>
      </c>
      <c r="K157" t="str">
        <f t="shared" si="4"/>
        <v/>
      </c>
      <c r="L157" t="s">
        <v>336</v>
      </c>
      <c r="M157" t="s">
        <v>335</v>
      </c>
      <c r="N157" t="s">
        <v>651</v>
      </c>
      <c r="O157">
        <v>73</v>
      </c>
      <c r="P157">
        <v>21</v>
      </c>
      <c r="Q157" t="s">
        <v>342</v>
      </c>
      <c r="T157" s="260"/>
    </row>
    <row r="158" spans="6:20" customFormat="1" x14ac:dyDescent="0.25">
      <c r="F158" s="266"/>
      <c r="G158" t="s">
        <v>340</v>
      </c>
      <c r="H158" t="s">
        <v>652</v>
      </c>
      <c r="I158" s="268" t="s">
        <v>311</v>
      </c>
      <c r="J158" t="s">
        <v>830</v>
      </c>
      <c r="K158" t="str">
        <f t="shared" si="4"/>
        <v/>
      </c>
      <c r="L158" t="s">
        <v>336</v>
      </c>
      <c r="M158" t="s">
        <v>335</v>
      </c>
      <c r="N158" t="s">
        <v>653</v>
      </c>
      <c r="O158">
        <v>1</v>
      </c>
      <c r="P158">
        <v>21</v>
      </c>
      <c r="Q158" t="s">
        <v>342</v>
      </c>
      <c r="T158" s="260"/>
    </row>
    <row r="159" spans="6:20" customFormat="1" x14ac:dyDescent="0.25">
      <c r="F159" s="266"/>
      <c r="G159" t="s">
        <v>340</v>
      </c>
      <c r="H159" t="s">
        <v>654</v>
      </c>
      <c r="I159" s="268" t="s">
        <v>311</v>
      </c>
      <c r="J159" t="s">
        <v>831</v>
      </c>
      <c r="K159" t="str">
        <f t="shared" si="4"/>
        <v/>
      </c>
      <c r="L159" t="s">
        <v>336</v>
      </c>
      <c r="M159" t="s">
        <v>335</v>
      </c>
      <c r="N159" t="s">
        <v>655</v>
      </c>
      <c r="O159">
        <v>1</v>
      </c>
      <c r="P159">
        <v>21</v>
      </c>
      <c r="Q159" t="s">
        <v>342</v>
      </c>
      <c r="T159" s="260"/>
    </row>
    <row r="160" spans="6:20" x14ac:dyDescent="0.25">
      <c r="G160" t="s">
        <v>340</v>
      </c>
      <c r="H160" t="s">
        <v>656</v>
      </c>
      <c r="I160" s="268" t="s">
        <v>311</v>
      </c>
      <c r="J160" t="s">
        <v>832</v>
      </c>
      <c r="K160" t="str">
        <f t="shared" si="4"/>
        <v/>
      </c>
      <c r="L160" t="s">
        <v>336</v>
      </c>
      <c r="M160" t="s">
        <v>335</v>
      </c>
      <c r="N160" t="s">
        <v>657</v>
      </c>
      <c r="O160">
        <v>1</v>
      </c>
      <c r="P160">
        <v>21</v>
      </c>
      <c r="Q160" t="s">
        <v>342</v>
      </c>
      <c r="R160"/>
      <c r="S160"/>
      <c r="T160" s="260"/>
    </row>
    <row r="161" spans="7:20" x14ac:dyDescent="0.25">
      <c r="G161" t="s">
        <v>340</v>
      </c>
      <c r="H161" t="s">
        <v>658</v>
      </c>
      <c r="I161" s="268" t="s">
        <v>311</v>
      </c>
      <c r="J161" t="s">
        <v>833</v>
      </c>
      <c r="K161" t="str">
        <f t="shared" si="4"/>
        <v/>
      </c>
      <c r="L161" t="s">
        <v>336</v>
      </c>
      <c r="M161" t="s">
        <v>335</v>
      </c>
      <c r="N161" t="s">
        <v>659</v>
      </c>
      <c r="O161">
        <v>5</v>
      </c>
      <c r="P161">
        <v>21</v>
      </c>
      <c r="Q161" t="s">
        <v>342</v>
      </c>
      <c r="R161"/>
      <c r="S161"/>
      <c r="T161" s="260"/>
    </row>
    <row r="162" spans="7:20" x14ac:dyDescent="0.25">
      <c r="G162" t="s">
        <v>340</v>
      </c>
      <c r="H162" t="s">
        <v>660</v>
      </c>
      <c r="I162" s="268" t="s">
        <v>311</v>
      </c>
      <c r="J162" t="s">
        <v>834</v>
      </c>
      <c r="K162" t="str">
        <f t="shared" si="4"/>
        <v/>
      </c>
      <c r="L162" t="s">
        <v>336</v>
      </c>
      <c r="M162" t="s">
        <v>335</v>
      </c>
      <c r="N162" t="s">
        <v>661</v>
      </c>
      <c r="O162">
        <v>2</v>
      </c>
      <c r="P162">
        <v>21</v>
      </c>
      <c r="Q162" t="s">
        <v>342</v>
      </c>
      <c r="R162"/>
      <c r="S162"/>
      <c r="T162" s="260"/>
    </row>
    <row r="163" spans="7:20" x14ac:dyDescent="0.25">
      <c r="G163" t="s">
        <v>340</v>
      </c>
      <c r="H163" t="s">
        <v>662</v>
      </c>
      <c r="I163" s="268" t="s">
        <v>311</v>
      </c>
      <c r="J163" t="s">
        <v>835</v>
      </c>
      <c r="K163" t="str">
        <f t="shared" si="4"/>
        <v/>
      </c>
      <c r="L163" t="s">
        <v>336</v>
      </c>
      <c r="M163" t="s">
        <v>335</v>
      </c>
      <c r="N163" t="s">
        <v>663</v>
      </c>
      <c r="O163">
        <v>5</v>
      </c>
      <c r="P163">
        <v>21</v>
      </c>
      <c r="Q163" t="s">
        <v>342</v>
      </c>
      <c r="R163"/>
      <c r="S163"/>
      <c r="T163" s="260"/>
    </row>
    <row r="164" spans="7:20" x14ac:dyDescent="0.25">
      <c r="G164" t="s">
        <v>340</v>
      </c>
      <c r="H164" t="s">
        <v>664</v>
      </c>
      <c r="I164" s="268" t="s">
        <v>311</v>
      </c>
      <c r="J164" t="s">
        <v>836</v>
      </c>
      <c r="K164" t="str">
        <f t="shared" si="4"/>
        <v/>
      </c>
      <c r="L164" t="s">
        <v>336</v>
      </c>
      <c r="M164" t="s">
        <v>335</v>
      </c>
      <c r="N164" t="s">
        <v>665</v>
      </c>
      <c r="O164">
        <v>10</v>
      </c>
      <c r="P164">
        <v>21</v>
      </c>
      <c r="Q164" t="s">
        <v>342</v>
      </c>
      <c r="R164"/>
      <c r="S164"/>
      <c r="T164" s="260"/>
    </row>
    <row r="165" spans="7:20" x14ac:dyDescent="0.25">
      <c r="G165" t="s">
        <v>340</v>
      </c>
      <c r="H165" t="s">
        <v>666</v>
      </c>
      <c r="I165" s="268" t="s">
        <v>311</v>
      </c>
      <c r="J165" t="s">
        <v>837</v>
      </c>
      <c r="K165" t="str">
        <f t="shared" si="4"/>
        <v/>
      </c>
      <c r="L165" t="s">
        <v>336</v>
      </c>
      <c r="M165" t="s">
        <v>335</v>
      </c>
      <c r="N165" t="s">
        <v>667</v>
      </c>
      <c r="O165">
        <v>10</v>
      </c>
      <c r="P165">
        <v>21</v>
      </c>
      <c r="Q165" t="s">
        <v>342</v>
      </c>
      <c r="R165"/>
      <c r="S165"/>
      <c r="T165" s="260"/>
    </row>
    <row r="166" spans="7:20" x14ac:dyDescent="0.25">
      <c r="G166" t="s">
        <v>340</v>
      </c>
      <c r="H166" t="s">
        <v>668</v>
      </c>
      <c r="I166" s="268" t="s">
        <v>311</v>
      </c>
      <c r="J166" t="s">
        <v>838</v>
      </c>
      <c r="K166" t="str">
        <f t="shared" si="4"/>
        <v/>
      </c>
      <c r="L166" t="s">
        <v>336</v>
      </c>
      <c r="M166" t="s">
        <v>335</v>
      </c>
      <c r="N166" t="s">
        <v>669</v>
      </c>
      <c r="O166">
        <v>1</v>
      </c>
      <c r="P166">
        <v>21</v>
      </c>
      <c r="Q166" t="s">
        <v>342</v>
      </c>
      <c r="R166"/>
      <c r="S166"/>
      <c r="T166" s="260"/>
    </row>
    <row r="167" spans="7:20" x14ac:dyDescent="0.25">
      <c r="G167" t="s">
        <v>340</v>
      </c>
      <c r="H167" t="s">
        <v>670</v>
      </c>
      <c r="I167" s="268" t="s">
        <v>311</v>
      </c>
      <c r="J167" t="s">
        <v>839</v>
      </c>
      <c r="K167" t="str">
        <f t="shared" si="4"/>
        <v/>
      </c>
      <c r="L167" t="s">
        <v>336</v>
      </c>
      <c r="M167" t="s">
        <v>335</v>
      </c>
      <c r="N167" t="s">
        <v>671</v>
      </c>
      <c r="O167" s="265">
        <v>1</v>
      </c>
      <c r="P167">
        <v>21</v>
      </c>
      <c r="Q167" t="s">
        <v>342</v>
      </c>
      <c r="R167"/>
      <c r="S167"/>
      <c r="T167" s="260"/>
    </row>
    <row r="168" spans="7:20" x14ac:dyDescent="0.25">
      <c r="G168" t="s">
        <v>340</v>
      </c>
      <c r="H168" t="s">
        <v>672</v>
      </c>
      <c r="I168" s="268" t="s">
        <v>311</v>
      </c>
      <c r="J168" t="s">
        <v>840</v>
      </c>
      <c r="K168" t="str">
        <f t="shared" si="4"/>
        <v/>
      </c>
      <c r="L168" t="s">
        <v>337</v>
      </c>
      <c r="M168" t="s">
        <v>335</v>
      </c>
      <c r="N168" t="s">
        <v>673</v>
      </c>
      <c r="O168">
        <v>18</v>
      </c>
      <c r="P168">
        <v>21</v>
      </c>
      <c r="Q168" t="s">
        <v>342</v>
      </c>
      <c r="R168"/>
      <c r="S168"/>
      <c r="T168" s="260"/>
    </row>
    <row r="169" spans="7:20" x14ac:dyDescent="0.25">
      <c r="G169"/>
      <c r="H169"/>
      <c r="I169"/>
      <c r="J169"/>
      <c r="K169" t="str">
        <f t="shared" si="4"/>
        <v/>
      </c>
      <c r="L169"/>
      <c r="M169" t="s">
        <v>335</v>
      </c>
      <c r="N169"/>
      <c r="O169"/>
      <c r="P169"/>
      <c r="Q169"/>
      <c r="R169"/>
      <c r="S169"/>
      <c r="T169" s="260"/>
    </row>
    <row r="170" spans="7:20" x14ac:dyDescent="0.25">
      <c r="G170"/>
      <c r="H170"/>
      <c r="I170"/>
      <c r="J170"/>
      <c r="K170" t="str">
        <f t="shared" si="4"/>
        <v/>
      </c>
      <c r="L170"/>
      <c r="M170"/>
      <c r="N170"/>
      <c r="O170"/>
      <c r="P170"/>
      <c r="Q170"/>
      <c r="R170"/>
      <c r="S170"/>
      <c r="T170" s="260"/>
    </row>
    <row r="171" spans="7:20" x14ac:dyDescent="0.25">
      <c r="G171"/>
      <c r="H171"/>
      <c r="I171"/>
      <c r="J171"/>
      <c r="K171" t="str">
        <f t="shared" si="4"/>
        <v/>
      </c>
      <c r="L171"/>
      <c r="M171"/>
      <c r="N171"/>
      <c r="O171"/>
      <c r="P171"/>
      <c r="Q171"/>
      <c r="R171"/>
      <c r="S171"/>
      <c r="T171" s="260"/>
    </row>
    <row r="172" spans="7:20" x14ac:dyDescent="0.25">
      <c r="G172"/>
      <c r="H172"/>
      <c r="I172"/>
      <c r="J172"/>
      <c r="K172" t="str">
        <f t="shared" si="4"/>
        <v/>
      </c>
      <c r="L172"/>
      <c r="M172"/>
      <c r="N172"/>
      <c r="O172"/>
      <c r="P172"/>
      <c r="Q172"/>
      <c r="R172"/>
      <c r="S172"/>
      <c r="T172" s="260"/>
    </row>
    <row r="173" spans="7:20" x14ac:dyDescent="0.25">
      <c r="G173"/>
      <c r="H173"/>
      <c r="I173"/>
      <c r="J173"/>
      <c r="K173" t="str">
        <f t="shared" si="4"/>
        <v/>
      </c>
      <c r="L173"/>
      <c r="M173"/>
      <c r="N173"/>
      <c r="O173"/>
      <c r="P173"/>
      <c r="Q173"/>
      <c r="R173"/>
      <c r="S173"/>
      <c r="T173" s="260"/>
    </row>
    <row r="174" spans="7:20" x14ac:dyDescent="0.25">
      <c r="G174"/>
      <c r="H174"/>
      <c r="I174"/>
      <c r="J174"/>
      <c r="K174" t="str">
        <f t="shared" si="4"/>
        <v/>
      </c>
      <c r="L174"/>
      <c r="M174"/>
      <c r="N174"/>
      <c r="O174"/>
      <c r="P174"/>
      <c r="Q174"/>
      <c r="R174"/>
      <c r="S174"/>
      <c r="T174" s="260"/>
    </row>
    <row r="175" spans="7:20" x14ac:dyDescent="0.25">
      <c r="G175"/>
      <c r="H175"/>
      <c r="I175"/>
      <c r="J175"/>
      <c r="K175" t="str">
        <f t="shared" si="4"/>
        <v/>
      </c>
      <c r="L175"/>
      <c r="M175"/>
      <c r="N175"/>
      <c r="O175"/>
      <c r="P175"/>
      <c r="Q175"/>
      <c r="R175"/>
      <c r="S175"/>
      <c r="T175" s="260"/>
    </row>
    <row r="176" spans="7:20" x14ac:dyDescent="0.25">
      <c r="G176"/>
      <c r="H176"/>
      <c r="I176"/>
      <c r="J176"/>
      <c r="K176" t="str">
        <f t="shared" si="4"/>
        <v/>
      </c>
      <c r="L176"/>
      <c r="M176"/>
      <c r="N176"/>
      <c r="O176"/>
      <c r="P176"/>
      <c r="Q176"/>
      <c r="R176"/>
      <c r="S176"/>
      <c r="T176" s="260"/>
    </row>
    <row r="177" spans="7:20" x14ac:dyDescent="0.25">
      <c r="G177"/>
      <c r="H177"/>
      <c r="I177"/>
      <c r="J177"/>
      <c r="K177" t="str">
        <f t="shared" si="4"/>
        <v/>
      </c>
      <c r="L177"/>
      <c r="M177"/>
      <c r="N177"/>
      <c r="O177"/>
      <c r="P177"/>
      <c r="Q177"/>
      <c r="R177"/>
      <c r="S177"/>
      <c r="T177" s="260"/>
    </row>
    <row r="178" spans="7:20" x14ac:dyDescent="0.25">
      <c r="G178"/>
      <c r="H178"/>
      <c r="I178"/>
      <c r="J178"/>
      <c r="K178" t="str">
        <f t="shared" si="4"/>
        <v/>
      </c>
      <c r="L178"/>
      <c r="M178"/>
      <c r="N178"/>
      <c r="O178"/>
      <c r="P178"/>
      <c r="Q178"/>
      <c r="R178"/>
      <c r="S178"/>
      <c r="T178" s="260"/>
    </row>
    <row r="179" spans="7:20" x14ac:dyDescent="0.25">
      <c r="G179"/>
      <c r="H179"/>
      <c r="I179"/>
      <c r="J179"/>
      <c r="K179" t="str">
        <f t="shared" si="4"/>
        <v/>
      </c>
      <c r="L179"/>
      <c r="M179"/>
      <c r="N179"/>
      <c r="O179"/>
      <c r="P179"/>
      <c r="Q179"/>
      <c r="R179"/>
      <c r="S179"/>
      <c r="T179" s="260"/>
    </row>
    <row r="180" spans="7:20" x14ac:dyDescent="0.25">
      <c r="G180"/>
      <c r="H180"/>
      <c r="I180"/>
      <c r="J180"/>
      <c r="K180" t="str">
        <f t="shared" si="4"/>
        <v/>
      </c>
      <c r="L180"/>
      <c r="M180"/>
      <c r="N180"/>
      <c r="O180"/>
      <c r="P180"/>
      <c r="Q180"/>
      <c r="R180"/>
      <c r="S180"/>
      <c r="T180" s="260"/>
    </row>
    <row r="181" spans="7:20" x14ac:dyDescent="0.25">
      <c r="G181"/>
      <c r="H181"/>
      <c r="I181"/>
      <c r="J181"/>
      <c r="K181" t="str">
        <f t="shared" si="4"/>
        <v/>
      </c>
      <c r="L181"/>
      <c r="M181"/>
      <c r="N181"/>
      <c r="O181"/>
      <c r="P181"/>
      <c r="Q181"/>
      <c r="R181"/>
      <c r="S181"/>
      <c r="T181" s="260"/>
    </row>
    <row r="182" spans="7:20" x14ac:dyDescent="0.25">
      <c r="G182"/>
      <c r="H182"/>
      <c r="I182"/>
      <c r="J182"/>
      <c r="K182" t="str">
        <f t="shared" si="4"/>
        <v/>
      </c>
      <c r="L182"/>
      <c r="M182"/>
      <c r="N182"/>
      <c r="O182"/>
      <c r="P182"/>
      <c r="Q182"/>
      <c r="R182"/>
      <c r="S182"/>
      <c r="T182" s="260"/>
    </row>
    <row r="183" spans="7:20" x14ac:dyDescent="0.25">
      <c r="G183"/>
      <c r="H183"/>
      <c r="I183"/>
      <c r="J183"/>
      <c r="K183" t="str">
        <f t="shared" si="4"/>
        <v/>
      </c>
      <c r="L183"/>
      <c r="M183"/>
      <c r="N183"/>
      <c r="O183"/>
      <c r="P183"/>
      <c r="Q183"/>
      <c r="R183"/>
      <c r="S183"/>
      <c r="T183" s="260"/>
    </row>
    <row r="184" spans="7:20" x14ac:dyDescent="0.25">
      <c r="G184"/>
      <c r="H184"/>
      <c r="I184"/>
      <c r="J184"/>
      <c r="K184" t="str">
        <f t="shared" si="4"/>
        <v/>
      </c>
      <c r="L184"/>
      <c r="M184"/>
      <c r="N184"/>
      <c r="O184"/>
      <c r="P184"/>
      <c r="Q184"/>
      <c r="R184"/>
      <c r="S184"/>
      <c r="T184" s="260"/>
    </row>
    <row r="185" spans="7:20" x14ac:dyDescent="0.25">
      <c r="G185"/>
      <c r="H185"/>
      <c r="I185"/>
      <c r="J185"/>
      <c r="K185" t="str">
        <f t="shared" si="4"/>
        <v/>
      </c>
      <c r="L185"/>
      <c r="M185"/>
      <c r="N185"/>
      <c r="O185"/>
      <c r="P185"/>
      <c r="Q185"/>
      <c r="R185"/>
      <c r="S185"/>
      <c r="T185" s="260"/>
    </row>
    <row r="186" spans="7:20" x14ac:dyDescent="0.25">
      <c r="G186"/>
      <c r="H186"/>
      <c r="I186"/>
      <c r="J186"/>
      <c r="K186" t="str">
        <f t="shared" si="4"/>
        <v/>
      </c>
      <c r="L186"/>
      <c r="M186"/>
      <c r="N186"/>
      <c r="O186"/>
      <c r="P186"/>
      <c r="Q186"/>
      <c r="R186"/>
      <c r="S186"/>
      <c r="T186" s="260"/>
    </row>
    <row r="187" spans="7:20" x14ac:dyDescent="0.25">
      <c r="G187"/>
      <c r="H187"/>
      <c r="I187"/>
      <c r="J187"/>
      <c r="K187" t="str">
        <f t="shared" si="4"/>
        <v/>
      </c>
      <c r="L187"/>
      <c r="M187"/>
      <c r="N187"/>
      <c r="O187"/>
      <c r="P187"/>
      <c r="Q187"/>
      <c r="R187"/>
      <c r="S187"/>
      <c r="T187" s="260"/>
    </row>
    <row r="188" spans="7:20" x14ac:dyDescent="0.25">
      <c r="G188"/>
      <c r="H188"/>
      <c r="I188"/>
      <c r="J188"/>
      <c r="K188" t="str">
        <f t="shared" si="4"/>
        <v/>
      </c>
      <c r="L188"/>
      <c r="M188"/>
      <c r="N188"/>
      <c r="O188"/>
      <c r="P188"/>
      <c r="Q188"/>
      <c r="R188"/>
      <c r="S188"/>
      <c r="T188" s="260"/>
    </row>
    <row r="189" spans="7:20" x14ac:dyDescent="0.25">
      <c r="G189"/>
      <c r="H189"/>
      <c r="I189"/>
      <c r="J189"/>
      <c r="K189" t="str">
        <f t="shared" si="4"/>
        <v/>
      </c>
      <c r="L189"/>
      <c r="M189"/>
      <c r="N189"/>
      <c r="O189"/>
      <c r="P189"/>
      <c r="Q189"/>
      <c r="R189"/>
      <c r="S189"/>
      <c r="T189" s="260"/>
    </row>
    <row r="190" spans="7:20" x14ac:dyDescent="0.25">
      <c r="G190"/>
      <c r="H190"/>
      <c r="I190"/>
      <c r="J190"/>
      <c r="K190" t="str">
        <f t="shared" si="4"/>
        <v/>
      </c>
      <c r="L190"/>
      <c r="M190"/>
      <c r="N190"/>
      <c r="O190"/>
      <c r="P190"/>
      <c r="Q190"/>
      <c r="R190"/>
      <c r="S190"/>
      <c r="T190" s="260"/>
    </row>
    <row r="191" spans="7:20" x14ac:dyDescent="0.25">
      <c r="G191"/>
      <c r="H191"/>
      <c r="I191"/>
      <c r="J191"/>
      <c r="K191" t="str">
        <f t="shared" si="4"/>
        <v/>
      </c>
      <c r="L191"/>
      <c r="M191"/>
      <c r="N191"/>
      <c r="O191"/>
      <c r="P191"/>
      <c r="Q191"/>
      <c r="R191"/>
      <c r="S191"/>
      <c r="T191" s="260"/>
    </row>
    <row r="192" spans="7:20" x14ac:dyDescent="0.25">
      <c r="G192"/>
      <c r="H192"/>
      <c r="I192"/>
      <c r="J192"/>
      <c r="K192" t="str">
        <f t="shared" si="4"/>
        <v/>
      </c>
      <c r="L192"/>
      <c r="M192"/>
      <c r="N192"/>
      <c r="O192"/>
      <c r="P192"/>
      <c r="Q192"/>
      <c r="R192"/>
      <c r="S192"/>
      <c r="T192" s="260"/>
    </row>
    <row r="193" spans="7:20" x14ac:dyDescent="0.25">
      <c r="G193"/>
      <c r="H193"/>
      <c r="I193"/>
      <c r="J193"/>
      <c r="K193" t="str">
        <f t="shared" si="4"/>
        <v/>
      </c>
      <c r="L193"/>
      <c r="M193"/>
      <c r="N193"/>
      <c r="O193"/>
      <c r="P193"/>
      <c r="Q193"/>
      <c r="R193"/>
      <c r="S193"/>
      <c r="T193" s="260"/>
    </row>
    <row r="194" spans="7:20" x14ac:dyDescent="0.25">
      <c r="G194"/>
      <c r="H194"/>
      <c r="I194"/>
      <c r="J194"/>
      <c r="K194" t="str">
        <f t="shared" si="4"/>
        <v/>
      </c>
      <c r="L194"/>
      <c r="M194"/>
      <c r="N194"/>
      <c r="O194"/>
      <c r="P194"/>
      <c r="Q194"/>
      <c r="R194"/>
      <c r="S194"/>
      <c r="T194" s="260"/>
    </row>
    <row r="195" spans="7:20" x14ac:dyDescent="0.25">
      <c r="G195"/>
      <c r="H195"/>
      <c r="I195"/>
      <c r="J195"/>
      <c r="K195" t="str">
        <f t="shared" si="4"/>
        <v/>
      </c>
      <c r="L195"/>
      <c r="M195"/>
      <c r="N195"/>
      <c r="O195"/>
      <c r="P195"/>
      <c r="Q195"/>
      <c r="R195"/>
      <c r="S195"/>
      <c r="T195" s="260"/>
    </row>
    <row r="196" spans="7:20" x14ac:dyDescent="0.25">
      <c r="G196"/>
      <c r="H196"/>
      <c r="I196"/>
      <c r="J196"/>
      <c r="K196" t="str">
        <f t="shared" ref="K196:K259" si="5">IF(J196="","",IF(T196="@11\QBorrado@","Borrado",""))</f>
        <v/>
      </c>
      <c r="L196"/>
      <c r="M196"/>
      <c r="N196"/>
      <c r="O196"/>
      <c r="P196"/>
      <c r="Q196"/>
      <c r="R196"/>
      <c r="S196"/>
      <c r="T196" s="260"/>
    </row>
    <row r="197" spans="7:20" x14ac:dyDescent="0.25">
      <c r="G197"/>
      <c r="H197"/>
      <c r="I197"/>
      <c r="J197"/>
      <c r="K197" t="str">
        <f t="shared" si="5"/>
        <v/>
      </c>
      <c r="L197"/>
      <c r="M197"/>
      <c r="N197"/>
      <c r="O197"/>
      <c r="P197"/>
      <c r="Q197"/>
      <c r="R197"/>
      <c r="S197"/>
      <c r="T197" s="260"/>
    </row>
    <row r="198" spans="7:20" x14ac:dyDescent="0.25">
      <c r="G198"/>
      <c r="H198"/>
      <c r="I198"/>
      <c r="J198"/>
      <c r="K198" t="str">
        <f t="shared" si="5"/>
        <v/>
      </c>
      <c r="L198"/>
      <c r="M198"/>
      <c r="N198"/>
      <c r="O198"/>
      <c r="P198"/>
      <c r="Q198"/>
      <c r="R198"/>
      <c r="S198"/>
      <c r="T198" s="260"/>
    </row>
    <row r="199" spans="7:20" x14ac:dyDescent="0.25">
      <c r="G199"/>
      <c r="H199"/>
      <c r="I199"/>
      <c r="J199"/>
      <c r="K199" t="str">
        <f t="shared" si="5"/>
        <v/>
      </c>
      <c r="L199"/>
      <c r="M199"/>
      <c r="N199"/>
      <c r="O199"/>
      <c r="P199"/>
      <c r="Q199"/>
      <c r="R199"/>
      <c r="S199"/>
      <c r="T199" s="260"/>
    </row>
    <row r="200" spans="7:20" x14ac:dyDescent="0.25">
      <c r="G200"/>
      <c r="H200"/>
      <c r="I200"/>
      <c r="J200"/>
      <c r="K200" t="str">
        <f t="shared" si="5"/>
        <v/>
      </c>
      <c r="L200"/>
      <c r="M200"/>
      <c r="N200"/>
      <c r="O200"/>
      <c r="P200"/>
      <c r="Q200"/>
      <c r="R200"/>
      <c r="S200"/>
      <c r="T200" s="260"/>
    </row>
    <row r="201" spans="7:20" x14ac:dyDescent="0.25">
      <c r="G201"/>
      <c r="H201"/>
      <c r="I201"/>
      <c r="J201"/>
      <c r="K201" t="str">
        <f t="shared" si="5"/>
        <v/>
      </c>
      <c r="L201"/>
      <c r="M201"/>
      <c r="N201"/>
      <c r="O201"/>
      <c r="P201"/>
      <c r="Q201"/>
      <c r="R201"/>
      <c r="S201"/>
      <c r="T201" s="260"/>
    </row>
    <row r="202" spans="7:20" x14ac:dyDescent="0.25">
      <c r="G202"/>
      <c r="H202"/>
      <c r="I202"/>
      <c r="J202"/>
      <c r="K202" t="str">
        <f t="shared" si="5"/>
        <v/>
      </c>
      <c r="L202"/>
      <c r="M202"/>
      <c r="N202"/>
      <c r="O202"/>
      <c r="P202"/>
      <c r="Q202"/>
      <c r="R202"/>
      <c r="S202"/>
      <c r="T202" s="260"/>
    </row>
    <row r="203" spans="7:20" x14ac:dyDescent="0.25">
      <c r="G203"/>
      <c r="H203"/>
      <c r="I203"/>
      <c r="J203"/>
      <c r="K203" t="str">
        <f t="shared" si="5"/>
        <v/>
      </c>
      <c r="L203"/>
      <c r="M203"/>
      <c r="N203"/>
      <c r="O203"/>
      <c r="P203"/>
      <c r="Q203"/>
      <c r="R203"/>
      <c r="S203"/>
      <c r="T203" s="260"/>
    </row>
    <row r="204" spans="7:20" x14ac:dyDescent="0.25">
      <c r="G204"/>
      <c r="H204"/>
      <c r="I204"/>
      <c r="J204"/>
      <c r="K204" t="str">
        <f t="shared" si="5"/>
        <v/>
      </c>
      <c r="L204"/>
      <c r="M204"/>
      <c r="N204"/>
      <c r="O204"/>
      <c r="P204"/>
      <c r="Q204"/>
      <c r="R204"/>
      <c r="S204"/>
      <c r="T204" s="260"/>
    </row>
    <row r="205" spans="7:20" x14ac:dyDescent="0.25">
      <c r="G205"/>
      <c r="H205"/>
      <c r="I205"/>
      <c r="J205"/>
      <c r="K205" t="str">
        <f t="shared" si="5"/>
        <v/>
      </c>
      <c r="L205"/>
      <c r="M205"/>
      <c r="N205"/>
      <c r="O205"/>
      <c r="P205"/>
      <c r="Q205"/>
      <c r="R205"/>
      <c r="S205"/>
    </row>
    <row r="206" spans="7:20" x14ac:dyDescent="0.25">
      <c r="G206"/>
      <c r="H206"/>
      <c r="I206"/>
      <c r="J206"/>
      <c r="K206" t="str">
        <f t="shared" si="5"/>
        <v/>
      </c>
      <c r="L206"/>
      <c r="M206"/>
      <c r="N206"/>
      <c r="O206"/>
      <c r="P206"/>
      <c r="Q206"/>
      <c r="R206"/>
      <c r="S206"/>
    </row>
    <row r="207" spans="7:20" x14ac:dyDescent="0.25">
      <c r="G207"/>
      <c r="H207"/>
      <c r="I207"/>
      <c r="J207"/>
      <c r="K207" t="str">
        <f t="shared" si="5"/>
        <v/>
      </c>
      <c r="L207"/>
      <c r="M207"/>
      <c r="N207"/>
      <c r="O207"/>
      <c r="P207"/>
      <c r="Q207"/>
      <c r="R207"/>
      <c r="S207"/>
    </row>
    <row r="208" spans="7:20" x14ac:dyDescent="0.25">
      <c r="G208"/>
      <c r="H208"/>
      <c r="I208"/>
      <c r="J208"/>
      <c r="K208" t="str">
        <f t="shared" si="5"/>
        <v/>
      </c>
      <c r="L208"/>
      <c r="M208"/>
      <c r="N208"/>
      <c r="O208"/>
      <c r="P208"/>
      <c r="Q208"/>
      <c r="R208"/>
      <c r="S208"/>
    </row>
    <row r="209" spans="7:19" x14ac:dyDescent="0.25">
      <c r="G209"/>
      <c r="H209"/>
      <c r="I209"/>
      <c r="J209"/>
      <c r="K209" t="str">
        <f t="shared" si="5"/>
        <v/>
      </c>
      <c r="L209"/>
      <c r="M209"/>
      <c r="N209"/>
      <c r="O209"/>
      <c r="P209"/>
      <c r="Q209"/>
      <c r="R209"/>
      <c r="S209"/>
    </row>
    <row r="210" spans="7:19" x14ac:dyDescent="0.25">
      <c r="G210"/>
      <c r="H210"/>
      <c r="I210"/>
      <c r="J210"/>
      <c r="K210" t="str">
        <f t="shared" si="5"/>
        <v/>
      </c>
      <c r="L210"/>
      <c r="M210"/>
      <c r="N210"/>
      <c r="O210"/>
      <c r="P210"/>
      <c r="Q210"/>
      <c r="R210"/>
      <c r="S210"/>
    </row>
    <row r="211" spans="7:19" x14ac:dyDescent="0.25">
      <c r="G211"/>
      <c r="H211"/>
      <c r="I211"/>
      <c r="J211"/>
      <c r="K211" t="str">
        <f t="shared" si="5"/>
        <v/>
      </c>
      <c r="L211"/>
      <c r="M211"/>
      <c r="N211"/>
      <c r="O211"/>
      <c r="P211"/>
      <c r="Q211"/>
      <c r="R211"/>
      <c r="S211"/>
    </row>
    <row r="212" spans="7:19" x14ac:dyDescent="0.25">
      <c r="G212"/>
      <c r="H212"/>
      <c r="I212"/>
      <c r="J212"/>
      <c r="K212" t="str">
        <f t="shared" si="5"/>
        <v/>
      </c>
      <c r="L212"/>
      <c r="M212"/>
      <c r="N212"/>
      <c r="O212"/>
      <c r="P212"/>
      <c r="Q212"/>
      <c r="R212"/>
      <c r="S212"/>
    </row>
    <row r="213" spans="7:19" x14ac:dyDescent="0.25">
      <c r="G213"/>
      <c r="H213"/>
      <c r="I213"/>
      <c r="J213"/>
      <c r="K213" t="str">
        <f t="shared" si="5"/>
        <v/>
      </c>
      <c r="L213"/>
      <c r="M213"/>
      <c r="N213"/>
      <c r="O213"/>
      <c r="P213"/>
      <c r="Q213"/>
      <c r="R213"/>
      <c r="S213"/>
    </row>
    <row r="214" spans="7:19" x14ac:dyDescent="0.25">
      <c r="G214"/>
      <c r="H214"/>
      <c r="I214"/>
      <c r="J214"/>
      <c r="K214" t="str">
        <f t="shared" si="5"/>
        <v/>
      </c>
      <c r="L214"/>
      <c r="M214"/>
      <c r="N214"/>
      <c r="O214"/>
      <c r="P214"/>
      <c r="Q214"/>
      <c r="R214"/>
      <c r="S214"/>
    </row>
    <row r="215" spans="7:19" x14ac:dyDescent="0.25">
      <c r="G215"/>
      <c r="H215"/>
      <c r="I215"/>
      <c r="J215"/>
      <c r="K215" t="str">
        <f t="shared" si="5"/>
        <v/>
      </c>
      <c r="L215"/>
      <c r="M215"/>
      <c r="N215"/>
      <c r="O215"/>
      <c r="P215"/>
      <c r="Q215"/>
      <c r="R215"/>
      <c r="S215"/>
    </row>
    <row r="216" spans="7:19" x14ac:dyDescent="0.25">
      <c r="G216"/>
      <c r="H216"/>
      <c r="I216"/>
      <c r="J216"/>
      <c r="K216" t="str">
        <f t="shared" si="5"/>
        <v/>
      </c>
      <c r="L216"/>
      <c r="M216"/>
      <c r="N216"/>
      <c r="O216"/>
      <c r="P216"/>
      <c r="Q216"/>
      <c r="R216"/>
      <c r="S216"/>
    </row>
    <row r="217" spans="7:19" x14ac:dyDescent="0.25">
      <c r="G217"/>
      <c r="H217"/>
      <c r="I217"/>
      <c r="J217"/>
      <c r="K217" t="str">
        <f t="shared" si="5"/>
        <v/>
      </c>
      <c r="L217"/>
      <c r="M217"/>
      <c r="N217"/>
      <c r="O217"/>
      <c r="P217"/>
      <c r="Q217"/>
      <c r="R217"/>
      <c r="S217"/>
    </row>
    <row r="218" spans="7:19" x14ac:dyDescent="0.25">
      <c r="G218"/>
      <c r="H218"/>
      <c r="I218"/>
      <c r="J218"/>
      <c r="K218" t="str">
        <f t="shared" si="5"/>
        <v/>
      </c>
      <c r="L218"/>
      <c r="M218"/>
      <c r="N218"/>
      <c r="O218"/>
      <c r="P218"/>
      <c r="Q218"/>
      <c r="R218"/>
      <c r="S218"/>
    </row>
    <row r="219" spans="7:19" x14ac:dyDescent="0.25">
      <c r="G219"/>
      <c r="H219"/>
      <c r="I219"/>
      <c r="J219"/>
      <c r="K219" t="str">
        <f t="shared" si="5"/>
        <v/>
      </c>
      <c r="L219"/>
      <c r="M219"/>
      <c r="N219"/>
      <c r="O219"/>
      <c r="P219"/>
      <c r="Q219"/>
      <c r="R219"/>
      <c r="S219"/>
    </row>
    <row r="220" spans="7:19" x14ac:dyDescent="0.25">
      <c r="G220"/>
      <c r="H220"/>
      <c r="I220"/>
      <c r="J220"/>
      <c r="K220" t="str">
        <f t="shared" si="5"/>
        <v/>
      </c>
      <c r="L220"/>
      <c r="M220"/>
      <c r="N220"/>
      <c r="O220"/>
      <c r="P220"/>
      <c r="Q220"/>
      <c r="R220"/>
      <c r="S220"/>
    </row>
    <row r="221" spans="7:19" x14ac:dyDescent="0.25">
      <c r="G221"/>
      <c r="H221"/>
      <c r="I221"/>
      <c r="J221"/>
      <c r="K221" t="str">
        <f t="shared" si="5"/>
        <v/>
      </c>
      <c r="L221"/>
      <c r="M221"/>
      <c r="N221"/>
      <c r="O221"/>
      <c r="P221"/>
      <c r="Q221"/>
      <c r="R221"/>
      <c r="S221"/>
    </row>
    <row r="222" spans="7:19" x14ac:dyDescent="0.25">
      <c r="G222"/>
      <c r="H222"/>
      <c r="I222"/>
      <c r="J222"/>
      <c r="K222" t="str">
        <f t="shared" si="5"/>
        <v/>
      </c>
      <c r="L222"/>
      <c r="M222"/>
      <c r="N222"/>
      <c r="O222"/>
      <c r="P222"/>
      <c r="Q222"/>
      <c r="R222"/>
      <c r="S222"/>
    </row>
    <row r="223" spans="7:19" x14ac:dyDescent="0.25">
      <c r="G223"/>
      <c r="H223"/>
      <c r="I223"/>
      <c r="J223"/>
      <c r="K223" t="str">
        <f t="shared" si="5"/>
        <v/>
      </c>
      <c r="L223"/>
      <c r="M223"/>
      <c r="N223"/>
      <c r="O223"/>
      <c r="P223"/>
      <c r="Q223"/>
      <c r="R223"/>
      <c r="S223"/>
    </row>
    <row r="224" spans="7:19" x14ac:dyDescent="0.25">
      <c r="G224"/>
      <c r="H224"/>
      <c r="I224"/>
      <c r="J224"/>
      <c r="K224" t="str">
        <f t="shared" si="5"/>
        <v/>
      </c>
      <c r="L224"/>
      <c r="M224"/>
      <c r="N224"/>
      <c r="O224"/>
      <c r="P224"/>
      <c r="Q224"/>
      <c r="R224"/>
      <c r="S224"/>
    </row>
    <row r="225" spans="7:19" x14ac:dyDescent="0.25">
      <c r="G225"/>
      <c r="H225"/>
      <c r="I225"/>
      <c r="J225"/>
      <c r="K225" t="str">
        <f t="shared" si="5"/>
        <v/>
      </c>
      <c r="L225"/>
      <c r="M225"/>
      <c r="N225"/>
      <c r="O225"/>
      <c r="P225"/>
      <c r="Q225"/>
      <c r="R225"/>
      <c r="S225"/>
    </row>
    <row r="226" spans="7:19" x14ac:dyDescent="0.25">
      <c r="G226"/>
      <c r="H226"/>
      <c r="I226"/>
      <c r="J226"/>
      <c r="K226" t="str">
        <f t="shared" si="5"/>
        <v/>
      </c>
      <c r="L226"/>
      <c r="M226"/>
      <c r="N226"/>
      <c r="O226"/>
      <c r="P226"/>
      <c r="Q226"/>
      <c r="R226"/>
      <c r="S226"/>
    </row>
    <row r="227" spans="7:19" x14ac:dyDescent="0.25">
      <c r="G227"/>
      <c r="H227"/>
      <c r="I227"/>
      <c r="J227"/>
      <c r="K227" t="str">
        <f t="shared" si="5"/>
        <v/>
      </c>
      <c r="L227"/>
      <c r="M227"/>
      <c r="N227"/>
      <c r="O227"/>
      <c r="P227"/>
      <c r="Q227"/>
      <c r="R227"/>
      <c r="S227"/>
    </row>
    <row r="228" spans="7:19" x14ac:dyDescent="0.25">
      <c r="G228"/>
      <c r="H228"/>
      <c r="I228"/>
      <c r="J228"/>
      <c r="K228" t="str">
        <f t="shared" si="5"/>
        <v/>
      </c>
      <c r="L228"/>
      <c r="M228"/>
      <c r="N228"/>
      <c r="O228"/>
      <c r="P228"/>
      <c r="Q228"/>
      <c r="R228"/>
      <c r="S228"/>
    </row>
    <row r="229" spans="7:19" x14ac:dyDescent="0.25">
      <c r="G229"/>
      <c r="H229"/>
      <c r="I229"/>
      <c r="J229"/>
      <c r="K229" t="str">
        <f t="shared" si="5"/>
        <v/>
      </c>
      <c r="L229"/>
      <c r="M229"/>
      <c r="N229"/>
      <c r="O229"/>
      <c r="P229"/>
      <c r="Q229"/>
      <c r="R229"/>
      <c r="S229"/>
    </row>
    <row r="230" spans="7:19" x14ac:dyDescent="0.25">
      <c r="G230"/>
      <c r="H230"/>
      <c r="I230"/>
      <c r="J230"/>
      <c r="K230" t="str">
        <f t="shared" si="5"/>
        <v/>
      </c>
      <c r="L230"/>
      <c r="M230"/>
      <c r="N230"/>
      <c r="O230"/>
      <c r="P230"/>
      <c r="Q230"/>
      <c r="R230"/>
      <c r="S230"/>
    </row>
    <row r="231" spans="7:19" x14ac:dyDescent="0.25">
      <c r="G231"/>
      <c r="H231"/>
      <c r="I231"/>
      <c r="J231"/>
      <c r="K231" t="str">
        <f t="shared" si="5"/>
        <v/>
      </c>
      <c r="L231"/>
      <c r="M231"/>
      <c r="N231"/>
      <c r="O231"/>
      <c r="P231"/>
      <c r="Q231"/>
      <c r="R231"/>
      <c r="S231"/>
    </row>
    <row r="232" spans="7:19" x14ac:dyDescent="0.25">
      <c r="G232"/>
      <c r="H232"/>
      <c r="I232"/>
      <c r="J232"/>
      <c r="K232" t="str">
        <f t="shared" si="5"/>
        <v/>
      </c>
      <c r="L232"/>
      <c r="M232"/>
      <c r="N232"/>
      <c r="O232"/>
      <c r="P232"/>
      <c r="Q232"/>
      <c r="R232"/>
      <c r="S232"/>
    </row>
    <row r="233" spans="7:19" x14ac:dyDescent="0.25">
      <c r="G233"/>
      <c r="H233"/>
      <c r="I233"/>
      <c r="J233"/>
      <c r="K233" t="str">
        <f t="shared" si="5"/>
        <v/>
      </c>
      <c r="L233"/>
      <c r="M233"/>
      <c r="N233"/>
      <c r="O233"/>
      <c r="P233"/>
      <c r="Q233"/>
      <c r="R233"/>
      <c r="S233"/>
    </row>
    <row r="234" spans="7:19" x14ac:dyDescent="0.25">
      <c r="G234"/>
      <c r="H234"/>
      <c r="I234"/>
      <c r="J234"/>
      <c r="K234" t="str">
        <f t="shared" si="5"/>
        <v/>
      </c>
      <c r="L234"/>
      <c r="M234"/>
      <c r="N234"/>
      <c r="O234"/>
      <c r="P234"/>
      <c r="Q234"/>
      <c r="R234"/>
      <c r="S234"/>
    </row>
    <row r="235" spans="7:19" x14ac:dyDescent="0.25">
      <c r="G235"/>
      <c r="H235"/>
      <c r="I235"/>
      <c r="J235"/>
      <c r="K235" t="str">
        <f t="shared" si="5"/>
        <v/>
      </c>
      <c r="L235"/>
      <c r="M235"/>
      <c r="N235"/>
      <c r="O235"/>
      <c r="P235"/>
      <c r="Q235"/>
      <c r="R235"/>
      <c r="S235"/>
    </row>
    <row r="236" spans="7:19" x14ac:dyDescent="0.25">
      <c r="G236"/>
      <c r="H236"/>
      <c r="I236"/>
      <c r="J236"/>
      <c r="K236" t="str">
        <f t="shared" si="5"/>
        <v/>
      </c>
      <c r="L236"/>
      <c r="M236"/>
      <c r="N236"/>
      <c r="O236"/>
      <c r="P236"/>
      <c r="Q236"/>
      <c r="R236"/>
      <c r="S236"/>
    </row>
    <row r="237" spans="7:19" x14ac:dyDescent="0.25">
      <c r="G237"/>
      <c r="H237"/>
      <c r="I237"/>
      <c r="J237"/>
      <c r="K237" t="str">
        <f t="shared" si="5"/>
        <v/>
      </c>
      <c r="L237"/>
      <c r="M237"/>
      <c r="N237"/>
      <c r="O237"/>
      <c r="P237"/>
      <c r="Q237"/>
      <c r="R237"/>
      <c r="S237"/>
    </row>
    <row r="238" spans="7:19" x14ac:dyDescent="0.25">
      <c r="G238"/>
      <c r="H238"/>
      <c r="I238"/>
      <c r="J238"/>
      <c r="K238" t="str">
        <f t="shared" si="5"/>
        <v/>
      </c>
      <c r="L238"/>
      <c r="M238"/>
      <c r="N238"/>
      <c r="O238"/>
      <c r="P238"/>
      <c r="Q238"/>
      <c r="R238"/>
      <c r="S238"/>
    </row>
    <row r="239" spans="7:19" x14ac:dyDescent="0.25">
      <c r="G239"/>
      <c r="H239"/>
      <c r="I239"/>
      <c r="J239"/>
      <c r="K239" t="str">
        <f t="shared" si="5"/>
        <v/>
      </c>
      <c r="L239"/>
      <c r="M239"/>
      <c r="N239"/>
      <c r="O239"/>
      <c r="P239"/>
      <c r="Q239"/>
      <c r="R239"/>
      <c r="S239"/>
    </row>
    <row r="240" spans="7:19" x14ac:dyDescent="0.25">
      <c r="G240"/>
      <c r="H240"/>
      <c r="I240"/>
      <c r="J240"/>
      <c r="K240" t="str">
        <f t="shared" si="5"/>
        <v/>
      </c>
      <c r="L240"/>
      <c r="M240"/>
      <c r="N240"/>
      <c r="O240"/>
      <c r="P240"/>
      <c r="Q240"/>
      <c r="R240"/>
      <c r="S240"/>
    </row>
    <row r="241" spans="7:19" x14ac:dyDescent="0.25">
      <c r="G241"/>
      <c r="H241"/>
      <c r="I241"/>
      <c r="J241"/>
      <c r="K241" t="str">
        <f t="shared" si="5"/>
        <v/>
      </c>
      <c r="L241"/>
      <c r="M241"/>
      <c r="N241"/>
      <c r="O241"/>
      <c r="P241"/>
      <c r="Q241"/>
      <c r="R241"/>
      <c r="S241"/>
    </row>
    <row r="242" spans="7:19" x14ac:dyDescent="0.25">
      <c r="G242"/>
      <c r="H242"/>
      <c r="I242"/>
      <c r="J242"/>
      <c r="K242" t="str">
        <f t="shared" si="5"/>
        <v/>
      </c>
      <c r="L242"/>
      <c r="M242"/>
      <c r="N242"/>
      <c r="O242"/>
      <c r="P242"/>
      <c r="Q242"/>
      <c r="R242"/>
      <c r="S242"/>
    </row>
    <row r="243" spans="7:19" x14ac:dyDescent="0.25">
      <c r="G243"/>
      <c r="H243"/>
      <c r="I243"/>
      <c r="J243"/>
      <c r="K243" t="str">
        <f t="shared" si="5"/>
        <v/>
      </c>
      <c r="L243"/>
      <c r="M243"/>
      <c r="N243"/>
      <c r="O243"/>
      <c r="P243"/>
      <c r="Q243"/>
      <c r="R243"/>
      <c r="S243"/>
    </row>
    <row r="244" spans="7:19" x14ac:dyDescent="0.25">
      <c r="G244"/>
      <c r="H244"/>
      <c r="I244"/>
      <c r="J244"/>
      <c r="K244" t="str">
        <f t="shared" si="5"/>
        <v/>
      </c>
      <c r="L244"/>
      <c r="M244"/>
      <c r="N244"/>
      <c r="O244"/>
      <c r="P244"/>
      <c r="Q244"/>
      <c r="R244"/>
      <c r="S244"/>
    </row>
    <row r="245" spans="7:19" x14ac:dyDescent="0.25">
      <c r="G245"/>
      <c r="H245"/>
      <c r="I245"/>
      <c r="J245"/>
      <c r="K245" t="str">
        <f t="shared" si="5"/>
        <v/>
      </c>
      <c r="L245"/>
      <c r="M245"/>
      <c r="N245"/>
      <c r="O245"/>
      <c r="P245"/>
      <c r="Q245"/>
      <c r="R245"/>
      <c r="S245"/>
    </row>
    <row r="246" spans="7:19" x14ac:dyDescent="0.25">
      <c r="G246"/>
      <c r="H246"/>
      <c r="I246"/>
      <c r="J246"/>
      <c r="K246" t="str">
        <f t="shared" si="5"/>
        <v/>
      </c>
      <c r="L246"/>
      <c r="M246"/>
      <c r="N246"/>
      <c r="O246"/>
      <c r="P246"/>
      <c r="Q246"/>
      <c r="R246"/>
      <c r="S246"/>
    </row>
    <row r="247" spans="7:19" x14ac:dyDescent="0.25">
      <c r="G247"/>
      <c r="H247"/>
      <c r="I247"/>
      <c r="J247"/>
      <c r="K247" t="str">
        <f t="shared" si="5"/>
        <v/>
      </c>
      <c r="L247"/>
      <c r="M247"/>
      <c r="N247"/>
      <c r="O247"/>
      <c r="P247"/>
      <c r="Q247"/>
      <c r="R247"/>
      <c r="S247"/>
    </row>
    <row r="248" spans="7:19" x14ac:dyDescent="0.25">
      <c r="G248"/>
      <c r="H248"/>
      <c r="I248"/>
      <c r="J248"/>
      <c r="K248" t="str">
        <f t="shared" si="5"/>
        <v/>
      </c>
      <c r="L248"/>
      <c r="M248"/>
      <c r="N248"/>
      <c r="O248"/>
      <c r="P248"/>
      <c r="Q248"/>
      <c r="R248"/>
      <c r="S248"/>
    </row>
    <row r="249" spans="7:19" x14ac:dyDescent="0.25">
      <c r="G249"/>
      <c r="H249"/>
      <c r="I249"/>
      <c r="J249"/>
      <c r="K249" t="str">
        <f t="shared" si="5"/>
        <v/>
      </c>
      <c r="L249"/>
      <c r="M249"/>
      <c r="N249"/>
      <c r="O249"/>
      <c r="P249"/>
      <c r="Q249"/>
      <c r="R249"/>
      <c r="S249"/>
    </row>
    <row r="250" spans="7:19" x14ac:dyDescent="0.25">
      <c r="G250"/>
      <c r="H250"/>
      <c r="I250"/>
      <c r="J250"/>
      <c r="K250" t="str">
        <f t="shared" si="5"/>
        <v/>
      </c>
      <c r="L250"/>
      <c r="M250"/>
      <c r="N250"/>
      <c r="O250"/>
      <c r="P250"/>
      <c r="Q250"/>
      <c r="R250"/>
      <c r="S250"/>
    </row>
    <row r="251" spans="7:19" x14ac:dyDescent="0.25">
      <c r="G251"/>
      <c r="H251"/>
      <c r="I251"/>
      <c r="J251"/>
      <c r="K251" t="str">
        <f t="shared" si="5"/>
        <v/>
      </c>
      <c r="L251"/>
      <c r="M251"/>
      <c r="N251"/>
      <c r="O251"/>
      <c r="P251"/>
      <c r="Q251"/>
      <c r="R251"/>
      <c r="S251"/>
    </row>
    <row r="252" spans="7:19" x14ac:dyDescent="0.25">
      <c r="G252"/>
      <c r="H252"/>
      <c r="I252"/>
      <c r="J252"/>
      <c r="K252" t="str">
        <f t="shared" si="5"/>
        <v/>
      </c>
      <c r="L252"/>
      <c r="M252"/>
      <c r="N252"/>
      <c r="O252"/>
      <c r="P252"/>
      <c r="Q252"/>
      <c r="R252"/>
      <c r="S252"/>
    </row>
    <row r="253" spans="7:19" x14ac:dyDescent="0.25">
      <c r="G253"/>
      <c r="H253"/>
      <c r="I253"/>
      <c r="J253"/>
      <c r="K253" t="str">
        <f t="shared" si="5"/>
        <v/>
      </c>
      <c r="L253"/>
      <c r="M253"/>
      <c r="N253"/>
      <c r="O253"/>
      <c r="P253"/>
      <c r="Q253"/>
      <c r="R253"/>
      <c r="S253"/>
    </row>
    <row r="254" spans="7:19" x14ac:dyDescent="0.25">
      <c r="G254"/>
      <c r="H254"/>
      <c r="I254"/>
      <c r="J254"/>
      <c r="K254" t="str">
        <f t="shared" si="5"/>
        <v/>
      </c>
      <c r="L254"/>
      <c r="M254"/>
      <c r="N254"/>
      <c r="O254"/>
      <c r="P254"/>
      <c r="Q254"/>
      <c r="R254"/>
      <c r="S254"/>
    </row>
    <row r="255" spans="7:19" x14ac:dyDescent="0.25">
      <c r="G255"/>
      <c r="H255"/>
      <c r="I255"/>
      <c r="J255"/>
      <c r="K255" t="str">
        <f t="shared" si="5"/>
        <v/>
      </c>
      <c r="L255"/>
      <c r="M255"/>
      <c r="N255"/>
      <c r="O255"/>
      <c r="P255"/>
      <c r="Q255"/>
      <c r="R255"/>
      <c r="S255"/>
    </row>
    <row r="256" spans="7:19" x14ac:dyDescent="0.25">
      <c r="G256"/>
      <c r="H256"/>
      <c r="I256"/>
      <c r="J256"/>
      <c r="K256" t="str">
        <f t="shared" si="5"/>
        <v/>
      </c>
      <c r="L256"/>
      <c r="M256"/>
      <c r="N256"/>
      <c r="O256"/>
      <c r="P256"/>
      <c r="Q256"/>
      <c r="R256"/>
      <c r="S256"/>
    </row>
    <row r="257" spans="7:19" x14ac:dyDescent="0.25">
      <c r="G257"/>
      <c r="H257"/>
      <c r="I257"/>
      <c r="J257"/>
      <c r="K257" t="str">
        <f t="shared" si="5"/>
        <v/>
      </c>
      <c r="L257"/>
      <c r="M257"/>
      <c r="N257"/>
      <c r="O257"/>
      <c r="P257"/>
      <c r="Q257"/>
      <c r="R257"/>
      <c r="S257"/>
    </row>
    <row r="258" spans="7:19" x14ac:dyDescent="0.25">
      <c r="G258"/>
      <c r="H258"/>
      <c r="I258"/>
      <c r="J258"/>
      <c r="K258" t="str">
        <f t="shared" si="5"/>
        <v/>
      </c>
      <c r="L258"/>
      <c r="M258"/>
      <c r="N258"/>
      <c r="O258"/>
      <c r="P258"/>
      <c r="Q258"/>
      <c r="R258"/>
      <c r="S258"/>
    </row>
    <row r="259" spans="7:19" x14ac:dyDescent="0.25">
      <c r="G259"/>
      <c r="H259"/>
      <c r="I259"/>
      <c r="J259"/>
      <c r="K259" t="str">
        <f t="shared" si="5"/>
        <v/>
      </c>
      <c r="L259"/>
      <c r="M259"/>
      <c r="N259"/>
      <c r="O259"/>
      <c r="P259"/>
      <c r="Q259"/>
      <c r="R259"/>
      <c r="S259"/>
    </row>
    <row r="260" spans="7:19" x14ac:dyDescent="0.25">
      <c r="G260"/>
      <c r="H260"/>
      <c r="I260"/>
      <c r="J260"/>
      <c r="K260" t="str">
        <f t="shared" ref="K260:K323" si="6">IF(J260="","",IF(T260="@11\QBorrado@","Borrado",""))</f>
        <v/>
      </c>
      <c r="L260"/>
      <c r="M260"/>
      <c r="N260"/>
      <c r="O260"/>
      <c r="P260"/>
      <c r="Q260"/>
      <c r="R260"/>
      <c r="S260"/>
    </row>
    <row r="261" spans="7:19" x14ac:dyDescent="0.25">
      <c r="G261"/>
      <c r="H261"/>
      <c r="I261"/>
      <c r="J261"/>
      <c r="K261" t="str">
        <f t="shared" si="6"/>
        <v/>
      </c>
      <c r="L261"/>
      <c r="M261"/>
      <c r="N261"/>
      <c r="O261"/>
      <c r="P261"/>
      <c r="Q261"/>
      <c r="R261"/>
      <c r="S261"/>
    </row>
    <row r="262" spans="7:19" x14ac:dyDescent="0.25">
      <c r="G262"/>
      <c r="H262"/>
      <c r="I262"/>
      <c r="J262"/>
      <c r="K262" t="str">
        <f t="shared" si="6"/>
        <v/>
      </c>
      <c r="L262"/>
      <c r="M262"/>
      <c r="N262"/>
      <c r="O262"/>
      <c r="P262"/>
      <c r="Q262"/>
      <c r="R262"/>
      <c r="S262"/>
    </row>
    <row r="263" spans="7:19" x14ac:dyDescent="0.25">
      <c r="G263"/>
      <c r="H263"/>
      <c r="I263"/>
      <c r="J263"/>
      <c r="K263" t="str">
        <f t="shared" si="6"/>
        <v/>
      </c>
      <c r="L263"/>
      <c r="M263"/>
      <c r="N263"/>
      <c r="O263"/>
      <c r="P263"/>
      <c r="Q263"/>
      <c r="R263"/>
      <c r="S263"/>
    </row>
    <row r="264" spans="7:19" x14ac:dyDescent="0.25">
      <c r="G264"/>
      <c r="H264"/>
      <c r="I264"/>
      <c r="J264"/>
      <c r="K264" t="str">
        <f t="shared" si="6"/>
        <v/>
      </c>
      <c r="L264"/>
      <c r="M264"/>
      <c r="N264"/>
      <c r="O264"/>
      <c r="P264"/>
      <c r="Q264"/>
      <c r="R264"/>
      <c r="S264"/>
    </row>
    <row r="265" spans="7:19" x14ac:dyDescent="0.25">
      <c r="G265"/>
      <c r="H265"/>
      <c r="I265"/>
      <c r="J265"/>
      <c r="K265" t="str">
        <f t="shared" si="6"/>
        <v/>
      </c>
      <c r="L265"/>
      <c r="M265"/>
      <c r="N265"/>
      <c r="O265"/>
      <c r="P265"/>
      <c r="Q265"/>
      <c r="R265"/>
      <c r="S265"/>
    </row>
    <row r="266" spans="7:19" x14ac:dyDescent="0.25">
      <c r="G266"/>
      <c r="H266"/>
      <c r="I266"/>
      <c r="J266"/>
      <c r="K266" t="str">
        <f t="shared" si="6"/>
        <v/>
      </c>
      <c r="L266"/>
      <c r="M266"/>
      <c r="N266"/>
      <c r="O266"/>
      <c r="P266"/>
      <c r="Q266"/>
      <c r="R266"/>
      <c r="S266"/>
    </row>
    <row r="267" spans="7:19" x14ac:dyDescent="0.25">
      <c r="G267"/>
      <c r="H267"/>
      <c r="I267"/>
      <c r="J267"/>
      <c r="K267" t="str">
        <f t="shared" si="6"/>
        <v/>
      </c>
      <c r="L267"/>
      <c r="M267"/>
      <c r="N267"/>
      <c r="O267"/>
      <c r="P267"/>
      <c r="Q267"/>
      <c r="R267"/>
      <c r="S267"/>
    </row>
    <row r="268" spans="7:19" x14ac:dyDescent="0.25">
      <c r="G268"/>
      <c r="H268"/>
      <c r="I268"/>
      <c r="J268"/>
      <c r="K268" t="str">
        <f t="shared" si="6"/>
        <v/>
      </c>
      <c r="L268"/>
      <c r="M268"/>
      <c r="N268"/>
      <c r="O268"/>
      <c r="P268"/>
      <c r="Q268"/>
      <c r="R268"/>
      <c r="S268"/>
    </row>
    <row r="269" spans="7:19" x14ac:dyDescent="0.25">
      <c r="G269"/>
      <c r="H269"/>
      <c r="I269"/>
      <c r="J269"/>
      <c r="K269" t="str">
        <f t="shared" si="6"/>
        <v/>
      </c>
      <c r="L269"/>
      <c r="M269"/>
      <c r="N269"/>
      <c r="O269"/>
      <c r="P269"/>
      <c r="Q269"/>
      <c r="R269"/>
      <c r="S269"/>
    </row>
    <row r="270" spans="7:19" x14ac:dyDescent="0.25">
      <c r="G270"/>
      <c r="H270"/>
      <c r="I270"/>
      <c r="J270"/>
      <c r="K270" t="str">
        <f t="shared" si="6"/>
        <v/>
      </c>
      <c r="L270"/>
      <c r="M270"/>
      <c r="N270"/>
      <c r="O270"/>
      <c r="P270"/>
      <c r="Q270"/>
      <c r="R270"/>
      <c r="S270"/>
    </row>
    <row r="271" spans="7:19" x14ac:dyDescent="0.25">
      <c r="G271"/>
      <c r="H271"/>
      <c r="I271"/>
      <c r="J271"/>
      <c r="K271" t="str">
        <f t="shared" si="6"/>
        <v/>
      </c>
      <c r="L271"/>
      <c r="M271"/>
      <c r="N271"/>
      <c r="O271"/>
      <c r="P271"/>
      <c r="Q271"/>
      <c r="R271"/>
      <c r="S271"/>
    </row>
    <row r="272" spans="7:19" x14ac:dyDescent="0.25">
      <c r="G272"/>
      <c r="H272"/>
      <c r="I272"/>
      <c r="J272"/>
      <c r="K272" t="str">
        <f t="shared" si="6"/>
        <v/>
      </c>
      <c r="L272"/>
      <c r="M272"/>
      <c r="N272"/>
      <c r="O272"/>
      <c r="P272"/>
      <c r="Q272"/>
      <c r="R272"/>
      <c r="S272"/>
    </row>
    <row r="273" spans="7:19" x14ac:dyDescent="0.25">
      <c r="G273"/>
      <c r="H273"/>
      <c r="I273"/>
      <c r="J273"/>
      <c r="K273" t="str">
        <f t="shared" si="6"/>
        <v/>
      </c>
      <c r="L273"/>
      <c r="M273"/>
      <c r="N273"/>
      <c r="O273"/>
      <c r="P273"/>
      <c r="Q273"/>
      <c r="R273"/>
      <c r="S273"/>
    </row>
    <row r="274" spans="7:19" x14ac:dyDescent="0.25">
      <c r="G274"/>
      <c r="H274"/>
      <c r="I274"/>
      <c r="J274"/>
      <c r="K274" t="str">
        <f t="shared" si="6"/>
        <v/>
      </c>
      <c r="L274"/>
      <c r="M274"/>
      <c r="N274"/>
      <c r="O274"/>
      <c r="P274"/>
      <c r="Q274"/>
      <c r="R274"/>
      <c r="S274"/>
    </row>
    <row r="275" spans="7:19" x14ac:dyDescent="0.25">
      <c r="G275"/>
      <c r="H275"/>
      <c r="I275"/>
      <c r="J275"/>
      <c r="K275" t="str">
        <f t="shared" si="6"/>
        <v/>
      </c>
      <c r="L275"/>
      <c r="M275"/>
      <c r="N275"/>
      <c r="O275"/>
      <c r="P275"/>
      <c r="Q275"/>
      <c r="R275"/>
      <c r="S275"/>
    </row>
    <row r="276" spans="7:19" x14ac:dyDescent="0.25">
      <c r="G276"/>
      <c r="H276"/>
      <c r="I276"/>
      <c r="J276"/>
      <c r="K276" t="str">
        <f t="shared" si="6"/>
        <v/>
      </c>
      <c r="L276"/>
      <c r="M276"/>
      <c r="N276"/>
      <c r="O276"/>
      <c r="P276"/>
      <c r="Q276"/>
      <c r="R276"/>
      <c r="S276"/>
    </row>
    <row r="277" spans="7:19" x14ac:dyDescent="0.25">
      <c r="G277"/>
      <c r="H277"/>
      <c r="I277"/>
      <c r="J277"/>
      <c r="K277" t="str">
        <f t="shared" si="6"/>
        <v/>
      </c>
      <c r="L277"/>
      <c r="M277"/>
      <c r="N277"/>
      <c r="O277"/>
      <c r="P277"/>
      <c r="Q277"/>
      <c r="R277"/>
      <c r="S277"/>
    </row>
    <row r="278" spans="7:19" x14ac:dyDescent="0.25">
      <c r="G278"/>
      <c r="H278"/>
      <c r="I278"/>
      <c r="J278"/>
      <c r="K278" t="str">
        <f t="shared" si="6"/>
        <v/>
      </c>
      <c r="L278"/>
      <c r="M278"/>
      <c r="N278"/>
      <c r="O278"/>
      <c r="P278"/>
      <c r="Q278"/>
      <c r="R278"/>
      <c r="S278"/>
    </row>
    <row r="279" spans="7:19" x14ac:dyDescent="0.25">
      <c r="G279"/>
      <c r="H279"/>
      <c r="I279"/>
      <c r="J279"/>
      <c r="K279" t="str">
        <f t="shared" si="6"/>
        <v/>
      </c>
      <c r="L279"/>
      <c r="M279"/>
      <c r="N279"/>
      <c r="O279"/>
      <c r="P279"/>
      <c r="Q279"/>
      <c r="R279"/>
      <c r="S279"/>
    </row>
    <row r="280" spans="7:19" x14ac:dyDescent="0.25">
      <c r="G280"/>
      <c r="H280"/>
      <c r="I280"/>
      <c r="J280"/>
      <c r="K280" t="str">
        <f t="shared" si="6"/>
        <v/>
      </c>
      <c r="L280"/>
      <c r="M280"/>
      <c r="N280"/>
      <c r="O280"/>
      <c r="P280"/>
      <c r="Q280"/>
      <c r="R280"/>
      <c r="S280"/>
    </row>
    <row r="281" spans="7:19" x14ac:dyDescent="0.25">
      <c r="G281"/>
      <c r="H281"/>
      <c r="I281"/>
      <c r="J281"/>
      <c r="K281" t="str">
        <f t="shared" si="6"/>
        <v/>
      </c>
      <c r="L281"/>
      <c r="M281"/>
      <c r="N281"/>
      <c r="O281"/>
      <c r="P281"/>
      <c r="Q281"/>
      <c r="R281"/>
      <c r="S281"/>
    </row>
    <row r="282" spans="7:19" x14ac:dyDescent="0.25">
      <c r="G282"/>
      <c r="H282"/>
      <c r="I282"/>
      <c r="J282"/>
      <c r="K282" t="str">
        <f t="shared" si="6"/>
        <v/>
      </c>
      <c r="L282"/>
      <c r="M282"/>
      <c r="N282"/>
      <c r="O282"/>
      <c r="P282"/>
      <c r="Q282"/>
      <c r="R282"/>
      <c r="S282"/>
    </row>
    <row r="283" spans="7:19" x14ac:dyDescent="0.25">
      <c r="G283"/>
      <c r="H283"/>
      <c r="I283"/>
      <c r="J283"/>
      <c r="K283" t="str">
        <f t="shared" si="6"/>
        <v/>
      </c>
      <c r="L283"/>
      <c r="M283"/>
      <c r="N283"/>
      <c r="O283"/>
      <c r="P283"/>
      <c r="Q283"/>
      <c r="R283"/>
      <c r="S283"/>
    </row>
    <row r="284" spans="7:19" x14ac:dyDescent="0.25">
      <c r="G284"/>
      <c r="H284"/>
      <c r="I284"/>
      <c r="J284"/>
      <c r="K284" t="str">
        <f t="shared" si="6"/>
        <v/>
      </c>
      <c r="L284"/>
      <c r="M284"/>
      <c r="N284"/>
      <c r="O284"/>
      <c r="P284"/>
      <c r="Q284"/>
      <c r="R284"/>
      <c r="S284"/>
    </row>
    <row r="285" spans="7:19" x14ac:dyDescent="0.25">
      <c r="G285"/>
      <c r="H285"/>
      <c r="I285"/>
      <c r="J285"/>
      <c r="K285" t="str">
        <f t="shared" si="6"/>
        <v/>
      </c>
      <c r="L285"/>
      <c r="M285"/>
      <c r="N285"/>
      <c r="O285"/>
      <c r="P285"/>
      <c r="Q285"/>
      <c r="R285"/>
      <c r="S285"/>
    </row>
    <row r="286" spans="7:19" x14ac:dyDescent="0.25">
      <c r="G286"/>
      <c r="H286"/>
      <c r="I286"/>
      <c r="J286"/>
      <c r="K286" t="str">
        <f t="shared" si="6"/>
        <v/>
      </c>
      <c r="L286"/>
      <c r="M286"/>
      <c r="N286"/>
      <c r="O286"/>
      <c r="P286"/>
      <c r="Q286"/>
      <c r="R286"/>
      <c r="S286"/>
    </row>
    <row r="287" spans="7:19" x14ac:dyDescent="0.25">
      <c r="G287"/>
      <c r="H287"/>
      <c r="I287"/>
      <c r="J287"/>
      <c r="K287" t="str">
        <f t="shared" si="6"/>
        <v/>
      </c>
      <c r="L287"/>
      <c r="M287"/>
      <c r="N287"/>
      <c r="O287"/>
      <c r="P287"/>
      <c r="Q287"/>
      <c r="R287"/>
      <c r="S287"/>
    </row>
    <row r="288" spans="7:19" x14ac:dyDescent="0.25">
      <c r="G288"/>
      <c r="H288"/>
      <c r="I288"/>
      <c r="J288"/>
      <c r="K288" t="str">
        <f t="shared" si="6"/>
        <v/>
      </c>
      <c r="L288"/>
      <c r="M288"/>
      <c r="N288"/>
      <c r="O288"/>
      <c r="P288"/>
      <c r="Q288"/>
      <c r="R288"/>
      <c r="S288"/>
    </row>
    <row r="289" spans="7:19" x14ac:dyDescent="0.25">
      <c r="G289"/>
      <c r="H289"/>
      <c r="I289"/>
      <c r="J289"/>
      <c r="K289" t="str">
        <f t="shared" si="6"/>
        <v/>
      </c>
      <c r="L289"/>
      <c r="M289"/>
      <c r="N289"/>
      <c r="O289"/>
      <c r="P289"/>
      <c r="Q289"/>
      <c r="R289"/>
      <c r="S289"/>
    </row>
    <row r="290" spans="7:19" x14ac:dyDescent="0.25">
      <c r="G290"/>
      <c r="H290"/>
      <c r="I290"/>
      <c r="J290"/>
      <c r="K290" t="str">
        <f t="shared" si="6"/>
        <v/>
      </c>
      <c r="L290"/>
      <c r="M290"/>
      <c r="N290"/>
      <c r="O290"/>
      <c r="P290"/>
      <c r="Q290"/>
      <c r="R290"/>
      <c r="S290"/>
    </row>
    <row r="291" spans="7:19" x14ac:dyDescent="0.25">
      <c r="G291"/>
      <c r="H291"/>
      <c r="I291"/>
      <c r="J291"/>
      <c r="K291" t="str">
        <f t="shared" si="6"/>
        <v/>
      </c>
      <c r="L291"/>
      <c r="M291"/>
      <c r="N291"/>
      <c r="O291"/>
      <c r="P291"/>
      <c r="Q291"/>
      <c r="R291"/>
      <c r="S291"/>
    </row>
    <row r="292" spans="7:19" x14ac:dyDescent="0.25">
      <c r="G292"/>
      <c r="H292"/>
      <c r="I292"/>
      <c r="J292"/>
      <c r="K292" t="str">
        <f t="shared" si="6"/>
        <v/>
      </c>
      <c r="L292"/>
      <c r="M292"/>
      <c r="N292"/>
      <c r="O292"/>
      <c r="P292"/>
      <c r="Q292"/>
      <c r="R292"/>
      <c r="S292"/>
    </row>
    <row r="293" spans="7:19" x14ac:dyDescent="0.25">
      <c r="G293"/>
      <c r="H293"/>
      <c r="I293"/>
      <c r="J293"/>
      <c r="K293" t="str">
        <f t="shared" si="6"/>
        <v/>
      </c>
      <c r="L293"/>
      <c r="M293"/>
      <c r="N293"/>
      <c r="O293"/>
      <c r="P293"/>
      <c r="Q293"/>
      <c r="R293"/>
      <c r="S293"/>
    </row>
    <row r="294" spans="7:19" x14ac:dyDescent="0.25">
      <c r="G294"/>
      <c r="H294"/>
      <c r="I294"/>
      <c r="J294"/>
      <c r="K294" t="str">
        <f t="shared" si="6"/>
        <v/>
      </c>
      <c r="L294"/>
      <c r="M294"/>
      <c r="N294"/>
      <c r="O294"/>
      <c r="P294"/>
      <c r="Q294"/>
      <c r="R294"/>
      <c r="S294"/>
    </row>
    <row r="295" spans="7:19" x14ac:dyDescent="0.25">
      <c r="G295"/>
      <c r="H295"/>
      <c r="I295"/>
      <c r="J295"/>
      <c r="K295" t="str">
        <f t="shared" si="6"/>
        <v/>
      </c>
      <c r="L295"/>
      <c r="M295"/>
      <c r="N295"/>
      <c r="O295"/>
      <c r="P295"/>
      <c r="Q295"/>
      <c r="R295"/>
      <c r="S295"/>
    </row>
    <row r="296" spans="7:19" x14ac:dyDescent="0.25">
      <c r="G296"/>
      <c r="H296"/>
      <c r="I296"/>
      <c r="J296"/>
      <c r="K296" t="str">
        <f t="shared" si="6"/>
        <v/>
      </c>
      <c r="L296"/>
      <c r="M296"/>
      <c r="N296"/>
      <c r="O296"/>
      <c r="P296"/>
      <c r="Q296"/>
      <c r="R296"/>
      <c r="S296"/>
    </row>
    <row r="297" spans="7:19" x14ac:dyDescent="0.25">
      <c r="G297"/>
      <c r="H297"/>
      <c r="I297"/>
      <c r="J297"/>
      <c r="K297" t="str">
        <f t="shared" si="6"/>
        <v/>
      </c>
      <c r="L297"/>
      <c r="M297"/>
      <c r="N297"/>
      <c r="O297"/>
      <c r="P297"/>
      <c r="Q297"/>
      <c r="R297"/>
      <c r="S297"/>
    </row>
    <row r="298" spans="7:19" x14ac:dyDescent="0.25">
      <c r="G298"/>
      <c r="H298"/>
      <c r="I298"/>
      <c r="J298"/>
      <c r="K298" t="str">
        <f t="shared" si="6"/>
        <v/>
      </c>
      <c r="L298"/>
      <c r="M298"/>
      <c r="N298"/>
      <c r="O298"/>
      <c r="P298"/>
      <c r="Q298"/>
      <c r="R298"/>
      <c r="S298"/>
    </row>
    <row r="299" spans="7:19" x14ac:dyDescent="0.25">
      <c r="G299"/>
      <c r="H299"/>
      <c r="I299"/>
      <c r="J299"/>
      <c r="K299" t="str">
        <f t="shared" si="6"/>
        <v/>
      </c>
      <c r="L299"/>
      <c r="M299"/>
      <c r="N299"/>
      <c r="O299"/>
      <c r="P299"/>
      <c r="Q299"/>
      <c r="R299"/>
      <c r="S299"/>
    </row>
    <row r="300" spans="7:19" x14ac:dyDescent="0.25">
      <c r="G300"/>
      <c r="H300"/>
      <c r="I300"/>
      <c r="J300"/>
      <c r="K300" t="str">
        <f t="shared" si="6"/>
        <v/>
      </c>
      <c r="L300"/>
      <c r="M300"/>
      <c r="N300"/>
      <c r="O300"/>
      <c r="P300"/>
      <c r="Q300"/>
      <c r="R300"/>
      <c r="S300"/>
    </row>
    <row r="301" spans="7:19" x14ac:dyDescent="0.25">
      <c r="G301"/>
      <c r="H301"/>
      <c r="I301"/>
      <c r="J301"/>
      <c r="K301" t="str">
        <f t="shared" si="6"/>
        <v/>
      </c>
      <c r="L301"/>
      <c r="M301"/>
      <c r="N301"/>
      <c r="O301"/>
      <c r="P301"/>
      <c r="Q301"/>
      <c r="R301"/>
      <c r="S301"/>
    </row>
    <row r="302" spans="7:19" x14ac:dyDescent="0.25">
      <c r="G302"/>
      <c r="H302"/>
      <c r="I302"/>
      <c r="J302"/>
      <c r="K302" t="str">
        <f t="shared" si="6"/>
        <v/>
      </c>
      <c r="L302"/>
      <c r="M302"/>
      <c r="N302"/>
      <c r="O302"/>
      <c r="P302"/>
      <c r="Q302"/>
      <c r="R302"/>
      <c r="S302"/>
    </row>
    <row r="303" spans="7:19" x14ac:dyDescent="0.25">
      <c r="G303"/>
      <c r="H303"/>
      <c r="I303"/>
      <c r="J303"/>
      <c r="K303" t="str">
        <f t="shared" si="6"/>
        <v/>
      </c>
      <c r="L303"/>
      <c r="M303"/>
      <c r="N303"/>
      <c r="O303"/>
      <c r="P303"/>
      <c r="Q303"/>
      <c r="R303"/>
      <c r="S303"/>
    </row>
    <row r="304" spans="7:19" x14ac:dyDescent="0.25">
      <c r="G304"/>
      <c r="H304"/>
      <c r="I304"/>
      <c r="J304"/>
      <c r="K304" t="str">
        <f t="shared" si="6"/>
        <v/>
      </c>
      <c r="L304"/>
      <c r="M304"/>
      <c r="N304"/>
      <c r="O304"/>
      <c r="P304"/>
      <c r="Q304"/>
      <c r="R304"/>
      <c r="S304"/>
    </row>
    <row r="305" spans="7:19" x14ac:dyDescent="0.25">
      <c r="G305"/>
      <c r="H305"/>
      <c r="I305"/>
      <c r="J305"/>
      <c r="K305" t="str">
        <f t="shared" si="6"/>
        <v/>
      </c>
      <c r="L305"/>
      <c r="M305"/>
      <c r="N305"/>
      <c r="O305"/>
      <c r="P305"/>
      <c r="Q305"/>
      <c r="R305"/>
      <c r="S305"/>
    </row>
    <row r="306" spans="7:19" x14ac:dyDescent="0.25">
      <c r="G306"/>
      <c r="H306"/>
      <c r="I306"/>
      <c r="J306"/>
      <c r="K306" t="str">
        <f t="shared" si="6"/>
        <v/>
      </c>
      <c r="L306"/>
      <c r="M306"/>
      <c r="N306"/>
      <c r="O306"/>
      <c r="P306"/>
      <c r="Q306"/>
      <c r="R306"/>
      <c r="S306"/>
    </row>
    <row r="307" spans="7:19" x14ac:dyDescent="0.25">
      <c r="G307"/>
      <c r="H307"/>
      <c r="I307"/>
      <c r="J307"/>
      <c r="K307" t="str">
        <f t="shared" si="6"/>
        <v/>
      </c>
      <c r="L307"/>
      <c r="M307"/>
      <c r="N307"/>
      <c r="O307"/>
      <c r="P307"/>
      <c r="Q307"/>
      <c r="R307"/>
      <c r="S307"/>
    </row>
    <row r="308" spans="7:19" x14ac:dyDescent="0.25">
      <c r="G308"/>
      <c r="H308"/>
      <c r="I308"/>
      <c r="J308"/>
      <c r="K308" t="str">
        <f t="shared" si="6"/>
        <v/>
      </c>
      <c r="L308"/>
      <c r="M308"/>
      <c r="N308"/>
      <c r="O308"/>
      <c r="P308"/>
      <c r="Q308"/>
      <c r="R308"/>
      <c r="S308"/>
    </row>
    <row r="309" spans="7:19" x14ac:dyDescent="0.25">
      <c r="G309"/>
      <c r="H309"/>
      <c r="I309"/>
      <c r="J309"/>
      <c r="K309" t="str">
        <f t="shared" si="6"/>
        <v/>
      </c>
      <c r="L309"/>
      <c r="M309"/>
      <c r="N309"/>
      <c r="O309"/>
      <c r="P309"/>
      <c r="Q309"/>
      <c r="R309"/>
      <c r="S309"/>
    </row>
    <row r="310" spans="7:19" x14ac:dyDescent="0.25">
      <c r="G310"/>
      <c r="H310"/>
      <c r="I310"/>
      <c r="J310"/>
      <c r="K310" t="str">
        <f t="shared" si="6"/>
        <v/>
      </c>
      <c r="L310"/>
      <c r="M310"/>
      <c r="N310"/>
      <c r="O310"/>
      <c r="P310"/>
      <c r="Q310"/>
      <c r="R310"/>
      <c r="S310"/>
    </row>
    <row r="311" spans="7:19" x14ac:dyDescent="0.25">
      <c r="G311"/>
      <c r="H311"/>
      <c r="I311"/>
      <c r="J311"/>
      <c r="K311" t="str">
        <f t="shared" si="6"/>
        <v/>
      </c>
      <c r="L311"/>
      <c r="M311"/>
      <c r="N311"/>
      <c r="O311"/>
      <c r="P311"/>
      <c r="Q311"/>
      <c r="R311"/>
      <c r="S311"/>
    </row>
    <row r="312" spans="7:19" x14ac:dyDescent="0.25">
      <c r="G312"/>
      <c r="H312"/>
      <c r="I312"/>
      <c r="J312"/>
      <c r="K312" t="str">
        <f t="shared" si="6"/>
        <v/>
      </c>
      <c r="L312"/>
      <c r="M312"/>
      <c r="N312"/>
      <c r="O312"/>
      <c r="P312"/>
      <c r="Q312"/>
      <c r="R312"/>
      <c r="S312"/>
    </row>
    <row r="313" spans="7:19" x14ac:dyDescent="0.25">
      <c r="G313"/>
      <c r="H313"/>
      <c r="I313"/>
      <c r="J313"/>
      <c r="K313" t="str">
        <f t="shared" si="6"/>
        <v/>
      </c>
      <c r="L313"/>
      <c r="M313"/>
      <c r="N313"/>
      <c r="O313"/>
      <c r="P313"/>
      <c r="Q313"/>
      <c r="R313"/>
      <c r="S313"/>
    </row>
    <row r="314" spans="7:19" x14ac:dyDescent="0.25">
      <c r="G314"/>
      <c r="H314"/>
      <c r="I314"/>
      <c r="J314"/>
      <c r="K314" t="str">
        <f t="shared" si="6"/>
        <v/>
      </c>
      <c r="L314"/>
      <c r="M314"/>
      <c r="N314"/>
      <c r="O314"/>
      <c r="P314"/>
      <c r="Q314"/>
      <c r="R314"/>
      <c r="S314"/>
    </row>
    <row r="315" spans="7:19" x14ac:dyDescent="0.25">
      <c r="G315"/>
      <c r="H315"/>
      <c r="I315"/>
      <c r="J315"/>
      <c r="K315" t="str">
        <f t="shared" si="6"/>
        <v/>
      </c>
      <c r="L315"/>
      <c r="M315"/>
      <c r="N315"/>
      <c r="O315"/>
      <c r="P315"/>
      <c r="Q315"/>
      <c r="R315"/>
      <c r="S315"/>
    </row>
    <row r="316" spans="7:19" x14ac:dyDescent="0.25">
      <c r="G316"/>
      <c r="H316"/>
      <c r="I316"/>
      <c r="J316"/>
      <c r="K316" t="str">
        <f t="shared" si="6"/>
        <v/>
      </c>
      <c r="L316"/>
      <c r="M316"/>
      <c r="N316"/>
      <c r="O316"/>
      <c r="P316"/>
      <c r="Q316"/>
      <c r="R316"/>
      <c r="S316"/>
    </row>
    <row r="317" spans="7:19" x14ac:dyDescent="0.25">
      <c r="G317"/>
      <c r="H317"/>
      <c r="I317"/>
      <c r="J317"/>
      <c r="K317" t="str">
        <f t="shared" si="6"/>
        <v/>
      </c>
      <c r="L317"/>
      <c r="M317"/>
      <c r="N317"/>
      <c r="O317"/>
      <c r="P317"/>
      <c r="Q317"/>
      <c r="R317"/>
      <c r="S317"/>
    </row>
    <row r="318" spans="7:19" x14ac:dyDescent="0.25">
      <c r="G318"/>
      <c r="H318"/>
      <c r="I318"/>
      <c r="J318"/>
      <c r="K318" t="str">
        <f t="shared" si="6"/>
        <v/>
      </c>
      <c r="L318"/>
      <c r="M318"/>
      <c r="N318"/>
      <c r="O318"/>
      <c r="P318"/>
      <c r="Q318"/>
      <c r="R318"/>
      <c r="S318"/>
    </row>
    <row r="319" spans="7:19" x14ac:dyDescent="0.25">
      <c r="G319"/>
      <c r="H319"/>
      <c r="I319"/>
      <c r="J319"/>
      <c r="K319" t="str">
        <f t="shared" si="6"/>
        <v/>
      </c>
      <c r="L319"/>
      <c r="M319"/>
      <c r="N319"/>
      <c r="O319"/>
      <c r="P319"/>
      <c r="Q319"/>
      <c r="R319"/>
      <c r="S319"/>
    </row>
    <row r="320" spans="7:19" x14ac:dyDescent="0.25">
      <c r="G320"/>
      <c r="H320"/>
      <c r="I320"/>
      <c r="J320"/>
      <c r="K320" t="str">
        <f t="shared" si="6"/>
        <v/>
      </c>
      <c r="L320"/>
      <c r="M320"/>
      <c r="N320"/>
      <c r="O320"/>
      <c r="P320"/>
      <c r="Q320"/>
      <c r="R320"/>
      <c r="S320"/>
    </row>
    <row r="321" spans="7:19" x14ac:dyDescent="0.25">
      <c r="G321"/>
      <c r="H321"/>
      <c r="I321"/>
      <c r="J321"/>
      <c r="K321" t="str">
        <f t="shared" si="6"/>
        <v/>
      </c>
      <c r="L321"/>
      <c r="M321"/>
      <c r="N321"/>
      <c r="O321"/>
      <c r="P321"/>
      <c r="Q321"/>
      <c r="R321"/>
      <c r="S321"/>
    </row>
    <row r="322" spans="7:19" x14ac:dyDescent="0.25">
      <c r="G322"/>
      <c r="H322"/>
      <c r="I322"/>
      <c r="J322"/>
      <c r="K322" t="str">
        <f t="shared" si="6"/>
        <v/>
      </c>
      <c r="L322"/>
      <c r="M322"/>
      <c r="N322"/>
      <c r="O322"/>
      <c r="P322"/>
      <c r="Q322"/>
      <c r="R322"/>
      <c r="S322"/>
    </row>
    <row r="323" spans="7:19" x14ac:dyDescent="0.25">
      <c r="G323"/>
      <c r="H323"/>
      <c r="I323"/>
      <c r="J323"/>
      <c r="K323" t="str">
        <f t="shared" si="6"/>
        <v/>
      </c>
      <c r="L323"/>
      <c r="M323"/>
      <c r="N323"/>
      <c r="O323"/>
      <c r="P323"/>
      <c r="Q323"/>
      <c r="R323"/>
      <c r="S323"/>
    </row>
    <row r="324" spans="7:19" x14ac:dyDescent="0.25">
      <c r="G324"/>
      <c r="H324"/>
      <c r="I324"/>
      <c r="J324"/>
      <c r="K324" t="str">
        <f t="shared" ref="K324:K387" si="7">IF(J324="","",IF(T324="@11\QBorrado@","Borrado",""))</f>
        <v/>
      </c>
      <c r="L324"/>
      <c r="M324"/>
      <c r="N324"/>
      <c r="O324"/>
      <c r="P324"/>
      <c r="Q324"/>
      <c r="R324"/>
      <c r="S324"/>
    </row>
    <row r="325" spans="7:19" x14ac:dyDescent="0.25">
      <c r="G325"/>
      <c r="H325"/>
      <c r="I325"/>
      <c r="J325"/>
      <c r="K325" t="str">
        <f t="shared" si="7"/>
        <v/>
      </c>
      <c r="L325"/>
      <c r="M325"/>
      <c r="N325"/>
      <c r="O325"/>
      <c r="P325"/>
      <c r="Q325"/>
      <c r="R325"/>
      <c r="S325"/>
    </row>
    <row r="326" spans="7:19" x14ac:dyDescent="0.25">
      <c r="G326"/>
      <c r="H326"/>
      <c r="I326"/>
      <c r="J326"/>
      <c r="K326" t="str">
        <f t="shared" si="7"/>
        <v/>
      </c>
      <c r="L326"/>
      <c r="M326"/>
      <c r="N326"/>
      <c r="O326"/>
      <c r="P326"/>
      <c r="Q326"/>
      <c r="R326"/>
      <c r="S326"/>
    </row>
    <row r="327" spans="7:19" x14ac:dyDescent="0.25">
      <c r="G327"/>
      <c r="H327"/>
      <c r="I327"/>
      <c r="J327"/>
      <c r="K327" t="str">
        <f t="shared" si="7"/>
        <v/>
      </c>
      <c r="L327"/>
      <c r="M327"/>
      <c r="N327"/>
      <c r="O327"/>
      <c r="P327"/>
      <c r="Q327"/>
      <c r="R327"/>
      <c r="S327"/>
    </row>
    <row r="328" spans="7:19" x14ac:dyDescent="0.25">
      <c r="G328"/>
      <c r="H328"/>
      <c r="I328"/>
      <c r="J328"/>
      <c r="K328" t="str">
        <f t="shared" si="7"/>
        <v/>
      </c>
      <c r="L328"/>
      <c r="M328"/>
      <c r="N328"/>
      <c r="O328"/>
      <c r="P328"/>
      <c r="Q328"/>
      <c r="R328"/>
      <c r="S328"/>
    </row>
    <row r="329" spans="7:19" x14ac:dyDescent="0.25">
      <c r="G329"/>
      <c r="H329"/>
      <c r="I329"/>
      <c r="J329"/>
      <c r="K329" t="str">
        <f t="shared" si="7"/>
        <v/>
      </c>
      <c r="L329"/>
      <c r="M329"/>
      <c r="N329"/>
      <c r="O329"/>
      <c r="P329"/>
      <c r="Q329"/>
      <c r="R329"/>
      <c r="S329"/>
    </row>
    <row r="330" spans="7:19" x14ac:dyDescent="0.25">
      <c r="G330"/>
      <c r="H330"/>
      <c r="I330"/>
      <c r="J330"/>
      <c r="K330" t="str">
        <f t="shared" si="7"/>
        <v/>
      </c>
      <c r="L330"/>
      <c r="M330"/>
      <c r="N330"/>
      <c r="O330"/>
      <c r="P330"/>
      <c r="Q330"/>
      <c r="R330"/>
      <c r="S330"/>
    </row>
    <row r="331" spans="7:19" x14ac:dyDescent="0.25">
      <c r="G331"/>
      <c r="H331"/>
      <c r="I331"/>
      <c r="J331"/>
      <c r="K331" t="str">
        <f t="shared" si="7"/>
        <v/>
      </c>
      <c r="L331"/>
      <c r="M331"/>
      <c r="N331"/>
      <c r="O331"/>
      <c r="P331"/>
      <c r="Q331"/>
      <c r="R331"/>
      <c r="S331"/>
    </row>
    <row r="332" spans="7:19" x14ac:dyDescent="0.25">
      <c r="G332"/>
      <c r="H332"/>
      <c r="I332"/>
      <c r="J332"/>
      <c r="K332" t="str">
        <f t="shared" si="7"/>
        <v/>
      </c>
      <c r="L332"/>
      <c r="M332"/>
      <c r="N332"/>
      <c r="O332"/>
      <c r="P332"/>
      <c r="Q332"/>
      <c r="R332"/>
      <c r="S332"/>
    </row>
    <row r="333" spans="7:19" x14ac:dyDescent="0.25">
      <c r="G333"/>
      <c r="H333"/>
      <c r="I333"/>
      <c r="J333"/>
      <c r="K333" t="str">
        <f t="shared" si="7"/>
        <v/>
      </c>
      <c r="L333"/>
      <c r="M333"/>
      <c r="N333"/>
      <c r="O333"/>
      <c r="P333"/>
      <c r="Q333"/>
      <c r="R333"/>
      <c r="S333"/>
    </row>
    <row r="334" spans="7:19" x14ac:dyDescent="0.25">
      <c r="G334"/>
      <c r="H334"/>
      <c r="I334"/>
      <c r="J334"/>
      <c r="K334" t="str">
        <f t="shared" si="7"/>
        <v/>
      </c>
      <c r="L334"/>
      <c r="M334"/>
      <c r="N334"/>
      <c r="O334"/>
      <c r="P334"/>
      <c r="Q334"/>
      <c r="R334"/>
      <c r="S334"/>
    </row>
    <row r="335" spans="7:19" x14ac:dyDescent="0.25">
      <c r="G335"/>
      <c r="H335"/>
      <c r="I335"/>
      <c r="J335"/>
      <c r="K335" t="str">
        <f t="shared" si="7"/>
        <v/>
      </c>
      <c r="L335"/>
      <c r="M335"/>
      <c r="N335"/>
      <c r="O335"/>
      <c r="P335"/>
      <c r="Q335"/>
      <c r="R335"/>
      <c r="S335"/>
    </row>
    <row r="336" spans="7:19" x14ac:dyDescent="0.25">
      <c r="G336"/>
      <c r="H336"/>
      <c r="I336"/>
      <c r="J336"/>
      <c r="K336" t="str">
        <f t="shared" si="7"/>
        <v/>
      </c>
      <c r="L336"/>
      <c r="M336"/>
      <c r="N336"/>
      <c r="O336"/>
      <c r="P336"/>
      <c r="Q336"/>
      <c r="R336"/>
      <c r="S336"/>
    </row>
    <row r="337" spans="7:19" x14ac:dyDescent="0.25">
      <c r="G337"/>
      <c r="H337"/>
      <c r="I337"/>
      <c r="J337"/>
      <c r="K337" t="str">
        <f t="shared" si="7"/>
        <v/>
      </c>
      <c r="L337"/>
      <c r="M337"/>
      <c r="N337"/>
      <c r="O337"/>
      <c r="P337"/>
      <c r="Q337"/>
      <c r="R337"/>
      <c r="S337"/>
    </row>
    <row r="338" spans="7:19" x14ac:dyDescent="0.25">
      <c r="G338"/>
      <c r="H338"/>
      <c r="I338"/>
      <c r="J338"/>
      <c r="K338" t="str">
        <f t="shared" si="7"/>
        <v/>
      </c>
      <c r="L338"/>
      <c r="M338"/>
      <c r="N338"/>
      <c r="O338"/>
      <c r="P338"/>
      <c r="Q338"/>
      <c r="R338"/>
      <c r="S338"/>
    </row>
    <row r="339" spans="7:19" x14ac:dyDescent="0.25">
      <c r="G339"/>
      <c r="H339"/>
      <c r="I339"/>
      <c r="J339"/>
      <c r="K339" t="str">
        <f t="shared" si="7"/>
        <v/>
      </c>
      <c r="L339"/>
      <c r="M339"/>
      <c r="N339"/>
      <c r="O339"/>
      <c r="P339"/>
      <c r="Q339"/>
      <c r="R339"/>
      <c r="S339"/>
    </row>
    <row r="340" spans="7:19" x14ac:dyDescent="0.25">
      <c r="G340"/>
      <c r="H340"/>
      <c r="I340"/>
      <c r="J340"/>
      <c r="K340" t="str">
        <f t="shared" si="7"/>
        <v/>
      </c>
      <c r="L340"/>
      <c r="M340"/>
      <c r="N340"/>
      <c r="O340"/>
      <c r="P340"/>
      <c r="Q340"/>
      <c r="R340"/>
      <c r="S340"/>
    </row>
    <row r="341" spans="7:19" x14ac:dyDescent="0.25">
      <c r="G341"/>
      <c r="H341"/>
      <c r="I341"/>
      <c r="J341"/>
      <c r="K341" t="str">
        <f t="shared" si="7"/>
        <v/>
      </c>
      <c r="L341"/>
      <c r="M341"/>
      <c r="N341"/>
      <c r="O341"/>
      <c r="P341"/>
      <c r="Q341"/>
      <c r="R341"/>
      <c r="S341"/>
    </row>
    <row r="342" spans="7:19" x14ac:dyDescent="0.25">
      <c r="G342"/>
      <c r="H342"/>
      <c r="I342"/>
      <c r="J342"/>
      <c r="K342" t="str">
        <f t="shared" si="7"/>
        <v/>
      </c>
      <c r="L342"/>
      <c r="M342"/>
      <c r="N342"/>
      <c r="O342"/>
      <c r="P342"/>
      <c r="Q342"/>
      <c r="R342"/>
      <c r="S342"/>
    </row>
    <row r="343" spans="7:19" x14ac:dyDescent="0.25">
      <c r="G343"/>
      <c r="H343"/>
      <c r="I343"/>
      <c r="J343"/>
      <c r="K343" t="str">
        <f t="shared" si="7"/>
        <v/>
      </c>
      <c r="L343"/>
      <c r="M343"/>
      <c r="N343"/>
      <c r="O343"/>
      <c r="P343"/>
      <c r="Q343"/>
      <c r="R343"/>
      <c r="S343"/>
    </row>
    <row r="344" spans="7:19" x14ac:dyDescent="0.25">
      <c r="G344"/>
      <c r="H344"/>
      <c r="I344"/>
      <c r="J344"/>
      <c r="K344" t="str">
        <f t="shared" si="7"/>
        <v/>
      </c>
      <c r="L344"/>
      <c r="M344"/>
      <c r="N344"/>
      <c r="O344"/>
      <c r="P344"/>
      <c r="Q344"/>
      <c r="R344"/>
      <c r="S344"/>
    </row>
    <row r="345" spans="7:19" x14ac:dyDescent="0.25">
      <c r="G345"/>
      <c r="H345"/>
      <c r="I345"/>
      <c r="J345"/>
      <c r="K345" t="str">
        <f t="shared" si="7"/>
        <v/>
      </c>
      <c r="L345"/>
      <c r="M345"/>
      <c r="N345"/>
      <c r="O345"/>
      <c r="P345"/>
      <c r="Q345"/>
      <c r="R345"/>
      <c r="S345"/>
    </row>
    <row r="346" spans="7:19" x14ac:dyDescent="0.25">
      <c r="G346"/>
      <c r="H346"/>
      <c r="I346"/>
      <c r="J346"/>
      <c r="K346" t="str">
        <f t="shared" si="7"/>
        <v/>
      </c>
      <c r="L346"/>
      <c r="M346"/>
      <c r="N346"/>
      <c r="O346"/>
      <c r="P346"/>
      <c r="Q346"/>
      <c r="R346"/>
      <c r="S346"/>
    </row>
    <row r="347" spans="7:19" x14ac:dyDescent="0.25">
      <c r="G347"/>
      <c r="H347"/>
      <c r="I347"/>
      <c r="J347"/>
      <c r="K347" t="str">
        <f t="shared" si="7"/>
        <v/>
      </c>
      <c r="L347"/>
      <c r="M347"/>
      <c r="N347"/>
      <c r="O347"/>
      <c r="P347"/>
      <c r="Q347"/>
      <c r="R347"/>
      <c r="S347"/>
    </row>
    <row r="348" spans="7:19" x14ac:dyDescent="0.25">
      <c r="G348"/>
      <c r="H348"/>
      <c r="I348"/>
      <c r="J348"/>
      <c r="K348" t="str">
        <f t="shared" si="7"/>
        <v/>
      </c>
      <c r="L348"/>
      <c r="M348"/>
      <c r="N348"/>
      <c r="O348"/>
      <c r="P348"/>
      <c r="Q348"/>
      <c r="R348"/>
      <c r="S348"/>
    </row>
    <row r="349" spans="7:19" x14ac:dyDescent="0.25">
      <c r="G349"/>
      <c r="H349"/>
      <c r="I349"/>
      <c r="J349"/>
      <c r="K349" t="str">
        <f t="shared" si="7"/>
        <v/>
      </c>
      <c r="L349"/>
      <c r="M349"/>
      <c r="N349"/>
      <c r="O349"/>
      <c r="P349"/>
      <c r="Q349"/>
      <c r="R349"/>
      <c r="S349"/>
    </row>
    <row r="350" spans="7:19" x14ac:dyDescent="0.25">
      <c r="G350"/>
      <c r="H350"/>
      <c r="I350"/>
      <c r="J350"/>
      <c r="K350" t="str">
        <f t="shared" si="7"/>
        <v/>
      </c>
      <c r="L350"/>
      <c r="M350"/>
      <c r="N350"/>
      <c r="O350"/>
      <c r="P350"/>
      <c r="Q350"/>
      <c r="R350"/>
      <c r="S350"/>
    </row>
    <row r="351" spans="7:19" x14ac:dyDescent="0.25">
      <c r="G351"/>
      <c r="H351"/>
      <c r="I351"/>
      <c r="J351"/>
      <c r="K351" t="str">
        <f t="shared" si="7"/>
        <v/>
      </c>
      <c r="L351"/>
      <c r="M351"/>
      <c r="N351"/>
      <c r="O351"/>
      <c r="P351"/>
      <c r="Q351"/>
      <c r="R351"/>
      <c r="S351"/>
    </row>
    <row r="352" spans="7:19" x14ac:dyDescent="0.25">
      <c r="G352"/>
      <c r="H352"/>
      <c r="I352"/>
      <c r="J352"/>
      <c r="K352" t="str">
        <f t="shared" si="7"/>
        <v/>
      </c>
      <c r="L352"/>
      <c r="M352"/>
      <c r="N352"/>
      <c r="O352"/>
      <c r="P352"/>
      <c r="Q352"/>
      <c r="R352"/>
      <c r="S352"/>
    </row>
    <row r="353" spans="7:19" x14ac:dyDescent="0.25">
      <c r="G353"/>
      <c r="H353"/>
      <c r="I353"/>
      <c r="J353"/>
      <c r="K353" t="str">
        <f t="shared" si="7"/>
        <v/>
      </c>
      <c r="L353"/>
      <c r="M353"/>
      <c r="N353"/>
      <c r="O353"/>
      <c r="P353"/>
      <c r="Q353"/>
      <c r="R353"/>
      <c r="S353"/>
    </row>
    <row r="354" spans="7:19" x14ac:dyDescent="0.25">
      <c r="G354"/>
      <c r="H354"/>
      <c r="I354"/>
      <c r="J354"/>
      <c r="K354" t="str">
        <f t="shared" si="7"/>
        <v/>
      </c>
      <c r="L354"/>
      <c r="M354"/>
      <c r="N354"/>
      <c r="O354"/>
      <c r="P354"/>
      <c r="Q354"/>
      <c r="R354"/>
      <c r="S354"/>
    </row>
    <row r="355" spans="7:19" x14ac:dyDescent="0.25">
      <c r="G355"/>
      <c r="H355"/>
      <c r="I355"/>
      <c r="J355"/>
      <c r="K355" t="str">
        <f t="shared" si="7"/>
        <v/>
      </c>
      <c r="L355"/>
      <c r="M355"/>
      <c r="N355"/>
      <c r="O355"/>
      <c r="P355"/>
      <c r="Q355"/>
      <c r="R355"/>
      <c r="S355"/>
    </row>
    <row r="356" spans="7:19" x14ac:dyDescent="0.25">
      <c r="G356"/>
      <c r="H356"/>
      <c r="I356"/>
      <c r="J356"/>
      <c r="K356" t="str">
        <f t="shared" si="7"/>
        <v/>
      </c>
      <c r="L356"/>
      <c r="M356"/>
      <c r="N356"/>
      <c r="O356"/>
      <c r="P356"/>
      <c r="Q356"/>
      <c r="R356"/>
      <c r="S356"/>
    </row>
    <row r="357" spans="7:19" x14ac:dyDescent="0.25">
      <c r="G357"/>
      <c r="H357"/>
      <c r="I357"/>
      <c r="J357"/>
      <c r="K357" t="str">
        <f t="shared" si="7"/>
        <v/>
      </c>
      <c r="L357"/>
      <c r="M357"/>
      <c r="N357"/>
      <c r="O357"/>
      <c r="P357"/>
      <c r="Q357"/>
      <c r="R357"/>
      <c r="S357"/>
    </row>
    <row r="358" spans="7:19" x14ac:dyDescent="0.25">
      <c r="G358"/>
      <c r="H358"/>
      <c r="I358"/>
      <c r="J358"/>
      <c r="K358" t="str">
        <f t="shared" si="7"/>
        <v/>
      </c>
      <c r="L358"/>
      <c r="M358"/>
      <c r="N358"/>
      <c r="O358"/>
      <c r="P358"/>
      <c r="Q358"/>
      <c r="R358"/>
      <c r="S358"/>
    </row>
    <row r="359" spans="7:19" x14ac:dyDescent="0.25">
      <c r="G359"/>
      <c r="H359"/>
      <c r="I359"/>
      <c r="J359"/>
      <c r="K359" t="str">
        <f t="shared" si="7"/>
        <v/>
      </c>
      <c r="L359"/>
      <c r="M359"/>
      <c r="N359"/>
      <c r="O359"/>
      <c r="P359"/>
      <c r="Q359"/>
      <c r="R359"/>
      <c r="S359"/>
    </row>
    <row r="360" spans="7:19" x14ac:dyDescent="0.25">
      <c r="G360"/>
      <c r="H360"/>
      <c r="I360"/>
      <c r="J360"/>
      <c r="K360" t="str">
        <f t="shared" si="7"/>
        <v/>
      </c>
      <c r="L360"/>
      <c r="M360"/>
      <c r="N360"/>
      <c r="O360"/>
      <c r="P360"/>
      <c r="Q360"/>
      <c r="R360"/>
      <c r="S360"/>
    </row>
    <row r="361" spans="7:19" x14ac:dyDescent="0.25">
      <c r="G361"/>
      <c r="H361"/>
      <c r="I361"/>
      <c r="J361"/>
      <c r="K361" t="str">
        <f t="shared" si="7"/>
        <v/>
      </c>
      <c r="L361"/>
      <c r="M361"/>
      <c r="N361"/>
      <c r="O361"/>
      <c r="P361"/>
      <c r="Q361"/>
      <c r="R361"/>
      <c r="S361"/>
    </row>
    <row r="362" spans="7:19" x14ac:dyDescent="0.25">
      <c r="G362"/>
      <c r="H362"/>
      <c r="I362"/>
      <c r="J362"/>
      <c r="K362" t="str">
        <f t="shared" si="7"/>
        <v/>
      </c>
      <c r="L362"/>
      <c r="M362"/>
      <c r="N362"/>
      <c r="O362"/>
      <c r="P362"/>
      <c r="Q362"/>
      <c r="R362"/>
      <c r="S362"/>
    </row>
    <row r="363" spans="7:19" x14ac:dyDescent="0.25">
      <c r="G363"/>
      <c r="H363"/>
      <c r="I363"/>
      <c r="J363"/>
      <c r="K363" t="str">
        <f t="shared" si="7"/>
        <v/>
      </c>
      <c r="L363"/>
      <c r="M363"/>
      <c r="N363"/>
      <c r="O363"/>
      <c r="P363"/>
      <c r="Q363"/>
      <c r="R363"/>
      <c r="S363"/>
    </row>
    <row r="364" spans="7:19" x14ac:dyDescent="0.25">
      <c r="G364"/>
      <c r="H364"/>
      <c r="I364"/>
      <c r="J364"/>
      <c r="K364" t="str">
        <f t="shared" si="7"/>
        <v/>
      </c>
      <c r="L364"/>
      <c r="M364"/>
      <c r="N364"/>
      <c r="O364"/>
      <c r="P364"/>
      <c r="Q364"/>
      <c r="R364"/>
      <c r="S364"/>
    </row>
    <row r="365" spans="7:19" x14ac:dyDescent="0.25">
      <c r="G365"/>
      <c r="H365"/>
      <c r="I365"/>
      <c r="J365"/>
      <c r="K365" t="str">
        <f t="shared" si="7"/>
        <v/>
      </c>
      <c r="L365"/>
      <c r="M365"/>
      <c r="N365"/>
      <c r="O365"/>
      <c r="P365"/>
      <c r="Q365"/>
      <c r="R365"/>
      <c r="S365"/>
    </row>
    <row r="366" spans="7:19" x14ac:dyDescent="0.25">
      <c r="G366"/>
      <c r="H366"/>
      <c r="I366"/>
      <c r="J366"/>
      <c r="K366" t="str">
        <f t="shared" si="7"/>
        <v/>
      </c>
      <c r="L366"/>
      <c r="M366"/>
      <c r="N366"/>
      <c r="O366"/>
      <c r="P366"/>
      <c r="Q366"/>
      <c r="R366"/>
      <c r="S366"/>
    </row>
    <row r="367" spans="7:19" x14ac:dyDescent="0.25">
      <c r="G367"/>
      <c r="H367"/>
      <c r="I367"/>
      <c r="J367"/>
      <c r="K367" t="str">
        <f t="shared" si="7"/>
        <v/>
      </c>
      <c r="L367"/>
      <c r="M367"/>
      <c r="N367"/>
      <c r="O367"/>
      <c r="P367"/>
      <c r="Q367"/>
      <c r="R367"/>
      <c r="S367"/>
    </row>
    <row r="368" spans="7:19" x14ac:dyDescent="0.25">
      <c r="G368"/>
      <c r="H368"/>
      <c r="I368"/>
      <c r="J368"/>
      <c r="K368" t="str">
        <f t="shared" si="7"/>
        <v/>
      </c>
      <c r="L368"/>
      <c r="M368"/>
      <c r="N368"/>
      <c r="O368"/>
      <c r="P368"/>
      <c r="Q368"/>
      <c r="R368"/>
      <c r="S368"/>
    </row>
    <row r="369" spans="7:19" x14ac:dyDescent="0.25">
      <c r="G369"/>
      <c r="H369"/>
      <c r="I369"/>
      <c r="J369"/>
      <c r="K369" t="str">
        <f t="shared" si="7"/>
        <v/>
      </c>
      <c r="L369"/>
      <c r="M369"/>
      <c r="N369"/>
      <c r="O369"/>
      <c r="P369"/>
      <c r="Q369"/>
      <c r="R369"/>
      <c r="S369"/>
    </row>
    <row r="370" spans="7:19" x14ac:dyDescent="0.25">
      <c r="G370"/>
      <c r="H370"/>
      <c r="I370"/>
      <c r="J370"/>
      <c r="K370" t="str">
        <f t="shared" si="7"/>
        <v/>
      </c>
      <c r="L370"/>
      <c r="M370"/>
      <c r="N370"/>
      <c r="O370"/>
      <c r="P370"/>
      <c r="Q370"/>
      <c r="R370"/>
      <c r="S370"/>
    </row>
    <row r="371" spans="7:19" x14ac:dyDescent="0.25">
      <c r="G371"/>
      <c r="H371"/>
      <c r="I371"/>
      <c r="J371"/>
      <c r="K371" t="str">
        <f t="shared" si="7"/>
        <v/>
      </c>
      <c r="L371"/>
      <c r="M371"/>
      <c r="N371"/>
      <c r="O371"/>
      <c r="P371"/>
      <c r="Q371"/>
      <c r="R371"/>
      <c r="S371"/>
    </row>
    <row r="372" spans="7:19" x14ac:dyDescent="0.25">
      <c r="G372"/>
      <c r="H372"/>
      <c r="I372"/>
      <c r="J372"/>
      <c r="K372" t="str">
        <f t="shared" si="7"/>
        <v/>
      </c>
      <c r="L372"/>
      <c r="M372"/>
      <c r="N372"/>
      <c r="O372"/>
      <c r="P372"/>
      <c r="Q372"/>
      <c r="R372"/>
      <c r="S372"/>
    </row>
    <row r="373" spans="7:19" x14ac:dyDescent="0.25">
      <c r="G373"/>
      <c r="H373"/>
      <c r="I373"/>
      <c r="J373"/>
      <c r="K373" t="str">
        <f t="shared" si="7"/>
        <v/>
      </c>
      <c r="L373"/>
      <c r="M373"/>
      <c r="N373"/>
      <c r="O373"/>
      <c r="P373"/>
      <c r="Q373"/>
      <c r="R373"/>
      <c r="S373"/>
    </row>
    <row r="374" spans="7:19" x14ac:dyDescent="0.25">
      <c r="G374"/>
      <c r="H374"/>
      <c r="I374"/>
      <c r="J374"/>
      <c r="K374" t="str">
        <f t="shared" si="7"/>
        <v/>
      </c>
      <c r="L374"/>
      <c r="M374"/>
      <c r="N374"/>
      <c r="O374"/>
      <c r="P374"/>
      <c r="Q374"/>
      <c r="R374"/>
      <c r="S374"/>
    </row>
    <row r="375" spans="7:19" x14ac:dyDescent="0.25">
      <c r="G375"/>
      <c r="H375"/>
      <c r="I375"/>
      <c r="J375"/>
      <c r="K375" t="str">
        <f t="shared" si="7"/>
        <v/>
      </c>
      <c r="L375"/>
      <c r="M375"/>
      <c r="N375"/>
      <c r="O375"/>
      <c r="P375"/>
      <c r="Q375"/>
      <c r="R375"/>
      <c r="S375"/>
    </row>
    <row r="376" spans="7:19" x14ac:dyDescent="0.25">
      <c r="G376"/>
      <c r="H376"/>
      <c r="I376"/>
      <c r="J376"/>
      <c r="K376" t="str">
        <f t="shared" si="7"/>
        <v/>
      </c>
      <c r="L376"/>
      <c r="M376"/>
      <c r="N376"/>
      <c r="O376"/>
      <c r="P376"/>
      <c r="Q376"/>
      <c r="R376"/>
      <c r="S376"/>
    </row>
    <row r="377" spans="7:19" x14ac:dyDescent="0.25">
      <c r="G377"/>
      <c r="H377"/>
      <c r="I377"/>
      <c r="J377"/>
      <c r="K377" t="str">
        <f t="shared" si="7"/>
        <v/>
      </c>
      <c r="L377"/>
      <c r="M377"/>
      <c r="N377"/>
      <c r="O377"/>
      <c r="P377"/>
      <c r="Q377"/>
      <c r="R377"/>
      <c r="S377"/>
    </row>
    <row r="378" spans="7:19" x14ac:dyDescent="0.25">
      <c r="G378"/>
      <c r="H378"/>
      <c r="I378"/>
      <c r="J378"/>
      <c r="K378" t="str">
        <f t="shared" si="7"/>
        <v/>
      </c>
      <c r="L378"/>
      <c r="M378"/>
      <c r="N378"/>
      <c r="O378"/>
      <c r="P378"/>
      <c r="Q378"/>
      <c r="R378"/>
      <c r="S378"/>
    </row>
    <row r="379" spans="7:19" x14ac:dyDescent="0.25">
      <c r="G379"/>
      <c r="H379"/>
      <c r="I379"/>
      <c r="J379"/>
      <c r="K379" t="str">
        <f t="shared" si="7"/>
        <v/>
      </c>
      <c r="L379"/>
      <c r="M379"/>
      <c r="N379"/>
      <c r="O379"/>
      <c r="P379"/>
      <c r="Q379"/>
      <c r="R379"/>
      <c r="S379"/>
    </row>
    <row r="380" spans="7:19" x14ac:dyDescent="0.25">
      <c r="G380"/>
      <c r="H380"/>
      <c r="I380"/>
      <c r="J380"/>
      <c r="K380" t="str">
        <f t="shared" si="7"/>
        <v/>
      </c>
      <c r="L380"/>
      <c r="M380"/>
      <c r="N380"/>
      <c r="O380"/>
      <c r="P380"/>
      <c r="Q380"/>
      <c r="R380"/>
      <c r="S380"/>
    </row>
    <row r="381" spans="7:19" x14ac:dyDescent="0.25">
      <c r="G381"/>
      <c r="H381"/>
      <c r="I381"/>
      <c r="J381"/>
      <c r="K381" t="str">
        <f t="shared" si="7"/>
        <v/>
      </c>
      <c r="L381"/>
      <c r="M381"/>
      <c r="N381"/>
      <c r="O381"/>
      <c r="P381"/>
      <c r="Q381"/>
      <c r="R381"/>
      <c r="S381"/>
    </row>
    <row r="382" spans="7:19" x14ac:dyDescent="0.25">
      <c r="G382"/>
      <c r="H382"/>
      <c r="I382"/>
      <c r="J382"/>
      <c r="K382" t="str">
        <f t="shared" si="7"/>
        <v/>
      </c>
      <c r="L382"/>
      <c r="M382"/>
      <c r="N382"/>
      <c r="O382"/>
      <c r="P382"/>
      <c r="Q382"/>
      <c r="R382"/>
      <c r="S382"/>
    </row>
    <row r="383" spans="7:19" x14ac:dyDescent="0.25">
      <c r="G383"/>
      <c r="H383"/>
      <c r="I383"/>
      <c r="J383"/>
      <c r="K383" t="str">
        <f t="shared" si="7"/>
        <v/>
      </c>
      <c r="L383"/>
      <c r="M383"/>
      <c r="N383"/>
      <c r="O383"/>
      <c r="P383"/>
      <c r="Q383"/>
      <c r="R383"/>
      <c r="S383"/>
    </row>
    <row r="384" spans="7:19" x14ac:dyDescent="0.25">
      <c r="G384"/>
      <c r="H384"/>
      <c r="I384"/>
      <c r="J384"/>
      <c r="K384" t="str">
        <f t="shared" si="7"/>
        <v/>
      </c>
      <c r="L384"/>
      <c r="M384"/>
      <c r="N384"/>
      <c r="O384"/>
      <c r="P384"/>
      <c r="Q384"/>
      <c r="R384"/>
      <c r="S384"/>
    </row>
    <row r="385" spans="7:19" x14ac:dyDescent="0.25">
      <c r="G385"/>
      <c r="H385"/>
      <c r="I385"/>
      <c r="J385"/>
      <c r="K385" t="str">
        <f t="shared" si="7"/>
        <v/>
      </c>
      <c r="L385"/>
      <c r="M385"/>
      <c r="N385"/>
      <c r="O385"/>
      <c r="P385"/>
      <c r="Q385"/>
      <c r="R385"/>
      <c r="S385"/>
    </row>
    <row r="386" spans="7:19" x14ac:dyDescent="0.25">
      <c r="G386"/>
      <c r="H386"/>
      <c r="I386"/>
      <c r="J386"/>
      <c r="K386" t="str">
        <f t="shared" si="7"/>
        <v/>
      </c>
      <c r="L386"/>
      <c r="M386"/>
      <c r="N386"/>
      <c r="O386"/>
      <c r="P386"/>
      <c r="Q386"/>
      <c r="R386"/>
      <c r="S386"/>
    </row>
    <row r="387" spans="7:19" x14ac:dyDescent="0.25">
      <c r="G387"/>
      <c r="H387"/>
      <c r="I387"/>
      <c r="J387"/>
      <c r="K387" t="str">
        <f t="shared" si="7"/>
        <v/>
      </c>
      <c r="L387"/>
      <c r="M387"/>
      <c r="N387"/>
      <c r="O387"/>
      <c r="P387"/>
      <c r="Q387"/>
      <c r="R387"/>
      <c r="S387"/>
    </row>
    <row r="388" spans="7:19" x14ac:dyDescent="0.25">
      <c r="G388"/>
      <c r="H388"/>
      <c r="I388"/>
      <c r="J388"/>
      <c r="K388" t="str">
        <f t="shared" ref="K388:K451" si="8">IF(J388="","",IF(T388="@11\QBorrado@","Borrado",""))</f>
        <v/>
      </c>
      <c r="L388"/>
      <c r="M388"/>
      <c r="N388"/>
      <c r="O388"/>
      <c r="P388"/>
      <c r="Q388"/>
      <c r="R388"/>
      <c r="S388"/>
    </row>
    <row r="389" spans="7:19" x14ac:dyDescent="0.25">
      <c r="G389"/>
      <c r="H389"/>
      <c r="I389"/>
      <c r="J389"/>
      <c r="K389" t="str">
        <f t="shared" si="8"/>
        <v/>
      </c>
      <c r="L389"/>
      <c r="M389"/>
      <c r="N389"/>
      <c r="O389"/>
      <c r="P389"/>
      <c r="Q389"/>
      <c r="R389"/>
      <c r="S389"/>
    </row>
    <row r="390" spans="7:19" x14ac:dyDescent="0.25">
      <c r="G390"/>
      <c r="H390"/>
      <c r="I390"/>
      <c r="J390"/>
      <c r="K390" t="str">
        <f t="shared" si="8"/>
        <v/>
      </c>
      <c r="L390"/>
      <c r="M390"/>
      <c r="N390"/>
      <c r="O390"/>
      <c r="P390"/>
      <c r="Q390"/>
      <c r="R390"/>
      <c r="S390"/>
    </row>
    <row r="391" spans="7:19" x14ac:dyDescent="0.25">
      <c r="G391"/>
      <c r="H391"/>
      <c r="I391"/>
      <c r="J391"/>
      <c r="K391" t="str">
        <f t="shared" si="8"/>
        <v/>
      </c>
      <c r="L391"/>
      <c r="M391"/>
      <c r="N391"/>
      <c r="O391"/>
      <c r="P391"/>
      <c r="Q391"/>
      <c r="R391"/>
      <c r="S391"/>
    </row>
    <row r="392" spans="7:19" x14ac:dyDescent="0.25">
      <c r="G392"/>
      <c r="H392"/>
      <c r="I392"/>
      <c r="J392"/>
      <c r="K392" t="str">
        <f t="shared" si="8"/>
        <v/>
      </c>
      <c r="L392"/>
      <c r="M392"/>
      <c r="N392"/>
      <c r="O392"/>
      <c r="P392"/>
      <c r="Q392"/>
      <c r="R392"/>
      <c r="S392"/>
    </row>
    <row r="393" spans="7:19" x14ac:dyDescent="0.25">
      <c r="G393"/>
      <c r="H393"/>
      <c r="I393"/>
      <c r="J393"/>
      <c r="K393" t="str">
        <f t="shared" si="8"/>
        <v/>
      </c>
      <c r="L393"/>
      <c r="M393"/>
      <c r="N393"/>
      <c r="O393"/>
      <c r="P393"/>
      <c r="Q393"/>
      <c r="R393"/>
      <c r="S393"/>
    </row>
    <row r="394" spans="7:19" x14ac:dyDescent="0.25">
      <c r="G394"/>
      <c r="H394"/>
      <c r="I394"/>
      <c r="J394"/>
      <c r="K394" t="str">
        <f t="shared" si="8"/>
        <v/>
      </c>
      <c r="L394"/>
      <c r="M394"/>
      <c r="N394"/>
      <c r="O394"/>
      <c r="P394"/>
      <c r="Q394"/>
      <c r="R394"/>
      <c r="S394"/>
    </row>
    <row r="395" spans="7:19" x14ac:dyDescent="0.25">
      <c r="G395"/>
      <c r="H395"/>
      <c r="I395"/>
      <c r="J395"/>
      <c r="K395" t="str">
        <f t="shared" si="8"/>
        <v/>
      </c>
      <c r="L395"/>
      <c r="M395"/>
      <c r="N395"/>
      <c r="O395"/>
      <c r="P395"/>
      <c r="Q395"/>
      <c r="R395"/>
      <c r="S395"/>
    </row>
    <row r="396" spans="7:19" x14ac:dyDescent="0.25">
      <c r="G396"/>
      <c r="H396"/>
      <c r="I396"/>
      <c r="J396"/>
      <c r="K396" t="str">
        <f t="shared" si="8"/>
        <v/>
      </c>
      <c r="L396"/>
      <c r="M396"/>
      <c r="N396"/>
      <c r="O396"/>
      <c r="P396"/>
      <c r="Q396"/>
      <c r="R396"/>
      <c r="S396"/>
    </row>
    <row r="397" spans="7:19" x14ac:dyDescent="0.25">
      <c r="G397"/>
      <c r="H397"/>
      <c r="I397"/>
      <c r="J397"/>
      <c r="K397" t="str">
        <f t="shared" si="8"/>
        <v/>
      </c>
      <c r="L397"/>
      <c r="M397"/>
      <c r="N397"/>
      <c r="O397"/>
      <c r="P397"/>
      <c r="Q397"/>
      <c r="R397"/>
      <c r="S397"/>
    </row>
    <row r="398" spans="7:19" x14ac:dyDescent="0.25">
      <c r="G398"/>
      <c r="H398"/>
      <c r="I398"/>
      <c r="J398"/>
      <c r="K398" t="str">
        <f t="shared" si="8"/>
        <v/>
      </c>
      <c r="L398"/>
      <c r="M398"/>
      <c r="N398"/>
      <c r="O398"/>
      <c r="P398"/>
      <c r="Q398"/>
      <c r="R398"/>
      <c r="S398"/>
    </row>
    <row r="399" spans="7:19" x14ac:dyDescent="0.25">
      <c r="G399"/>
      <c r="H399"/>
      <c r="I399"/>
      <c r="J399"/>
      <c r="K399" t="str">
        <f t="shared" si="8"/>
        <v/>
      </c>
      <c r="L399"/>
      <c r="M399"/>
      <c r="N399"/>
      <c r="O399"/>
      <c r="P399"/>
      <c r="Q399"/>
      <c r="R399"/>
      <c r="S399"/>
    </row>
    <row r="400" spans="7:19" x14ac:dyDescent="0.25">
      <c r="G400"/>
      <c r="H400"/>
      <c r="I400"/>
      <c r="J400"/>
      <c r="K400" t="str">
        <f t="shared" si="8"/>
        <v/>
      </c>
      <c r="L400"/>
      <c r="M400"/>
      <c r="N400"/>
      <c r="O400"/>
      <c r="P400"/>
      <c r="Q400"/>
      <c r="R400"/>
      <c r="S400"/>
    </row>
    <row r="401" spans="7:19" x14ac:dyDescent="0.25">
      <c r="G401"/>
      <c r="H401"/>
      <c r="I401"/>
      <c r="J401"/>
      <c r="K401" t="str">
        <f t="shared" si="8"/>
        <v/>
      </c>
      <c r="L401"/>
      <c r="M401"/>
      <c r="N401"/>
      <c r="O401"/>
      <c r="P401"/>
      <c r="Q401"/>
      <c r="R401"/>
      <c r="S401"/>
    </row>
    <row r="402" spans="7:19" x14ac:dyDescent="0.25">
      <c r="G402"/>
      <c r="H402"/>
      <c r="I402"/>
      <c r="J402"/>
      <c r="K402" t="str">
        <f t="shared" si="8"/>
        <v/>
      </c>
      <c r="L402"/>
      <c r="M402"/>
      <c r="N402"/>
      <c r="O402"/>
      <c r="P402"/>
      <c r="Q402"/>
      <c r="R402"/>
      <c r="S402"/>
    </row>
    <row r="403" spans="7:19" x14ac:dyDescent="0.25">
      <c r="G403"/>
      <c r="H403"/>
      <c r="I403"/>
      <c r="J403"/>
      <c r="K403" t="str">
        <f t="shared" si="8"/>
        <v/>
      </c>
      <c r="L403"/>
      <c r="M403"/>
      <c r="N403"/>
      <c r="O403"/>
      <c r="P403"/>
      <c r="Q403"/>
      <c r="R403"/>
      <c r="S403"/>
    </row>
    <row r="404" spans="7:19" x14ac:dyDescent="0.25">
      <c r="G404"/>
      <c r="H404"/>
      <c r="I404"/>
      <c r="J404"/>
      <c r="K404" t="str">
        <f t="shared" si="8"/>
        <v/>
      </c>
      <c r="L404"/>
      <c r="M404"/>
      <c r="N404"/>
      <c r="O404"/>
      <c r="P404"/>
      <c r="Q404"/>
      <c r="R404"/>
      <c r="S404"/>
    </row>
    <row r="405" spans="7:19" x14ac:dyDescent="0.25">
      <c r="G405"/>
      <c r="H405"/>
      <c r="I405"/>
      <c r="J405"/>
      <c r="K405" t="str">
        <f t="shared" si="8"/>
        <v/>
      </c>
      <c r="L405"/>
      <c r="M405"/>
      <c r="N405"/>
      <c r="O405"/>
      <c r="P405"/>
      <c r="Q405"/>
      <c r="R405"/>
      <c r="S405"/>
    </row>
    <row r="406" spans="7:19" x14ac:dyDescent="0.25">
      <c r="G406"/>
      <c r="H406"/>
      <c r="I406"/>
      <c r="J406"/>
      <c r="K406" t="str">
        <f t="shared" si="8"/>
        <v/>
      </c>
      <c r="L406"/>
      <c r="M406"/>
      <c r="N406"/>
      <c r="O406"/>
      <c r="P406"/>
      <c r="Q406"/>
      <c r="R406"/>
      <c r="S406"/>
    </row>
    <row r="407" spans="7:19" x14ac:dyDescent="0.25">
      <c r="G407"/>
      <c r="H407"/>
      <c r="I407"/>
      <c r="J407"/>
      <c r="K407" t="str">
        <f t="shared" si="8"/>
        <v/>
      </c>
      <c r="L407"/>
      <c r="M407"/>
      <c r="N407"/>
      <c r="O407"/>
      <c r="P407"/>
      <c r="Q407"/>
      <c r="R407"/>
      <c r="S407"/>
    </row>
    <row r="408" spans="7:19" x14ac:dyDescent="0.25">
      <c r="G408"/>
      <c r="H408"/>
      <c r="I408"/>
      <c r="J408"/>
      <c r="K408" t="str">
        <f t="shared" si="8"/>
        <v/>
      </c>
      <c r="L408"/>
      <c r="M408"/>
      <c r="N408"/>
      <c r="O408"/>
      <c r="P408"/>
      <c r="Q408"/>
      <c r="R408"/>
      <c r="S408"/>
    </row>
    <row r="409" spans="7:19" x14ac:dyDescent="0.25">
      <c r="G409"/>
      <c r="H409"/>
      <c r="I409"/>
      <c r="J409"/>
      <c r="K409" t="str">
        <f t="shared" si="8"/>
        <v/>
      </c>
      <c r="L409"/>
      <c r="M409"/>
      <c r="N409"/>
      <c r="O409"/>
      <c r="P409"/>
      <c r="Q409"/>
      <c r="R409"/>
      <c r="S409"/>
    </row>
    <row r="410" spans="7:19" x14ac:dyDescent="0.25">
      <c r="G410"/>
      <c r="H410"/>
      <c r="I410"/>
      <c r="J410"/>
      <c r="K410" t="str">
        <f t="shared" si="8"/>
        <v/>
      </c>
      <c r="L410"/>
      <c r="M410"/>
      <c r="N410"/>
      <c r="O410"/>
      <c r="P410"/>
      <c r="Q410"/>
      <c r="R410"/>
      <c r="S410"/>
    </row>
    <row r="411" spans="7:19" x14ac:dyDescent="0.25">
      <c r="G411"/>
      <c r="H411"/>
      <c r="I411"/>
      <c r="J411"/>
      <c r="K411" t="str">
        <f t="shared" si="8"/>
        <v/>
      </c>
      <c r="L411"/>
      <c r="M411"/>
      <c r="N411"/>
      <c r="O411"/>
      <c r="P411"/>
      <c r="Q411"/>
      <c r="R411"/>
      <c r="S411"/>
    </row>
    <row r="412" spans="7:19" x14ac:dyDescent="0.25">
      <c r="G412"/>
      <c r="H412"/>
      <c r="I412"/>
      <c r="J412"/>
      <c r="K412" t="str">
        <f t="shared" si="8"/>
        <v/>
      </c>
      <c r="L412"/>
      <c r="M412"/>
      <c r="N412"/>
      <c r="O412"/>
      <c r="P412"/>
      <c r="Q412"/>
      <c r="R412"/>
      <c r="S412"/>
    </row>
    <row r="413" spans="7:19" x14ac:dyDescent="0.25">
      <c r="G413"/>
      <c r="H413"/>
      <c r="I413"/>
      <c r="J413"/>
      <c r="K413" t="str">
        <f t="shared" si="8"/>
        <v/>
      </c>
      <c r="L413"/>
      <c r="M413"/>
      <c r="N413"/>
      <c r="O413"/>
      <c r="P413"/>
      <c r="Q413"/>
      <c r="R413"/>
      <c r="S413"/>
    </row>
    <row r="414" spans="7:19" x14ac:dyDescent="0.25">
      <c r="G414"/>
      <c r="H414"/>
      <c r="I414"/>
      <c r="J414"/>
      <c r="K414" t="str">
        <f t="shared" si="8"/>
        <v/>
      </c>
      <c r="L414"/>
      <c r="M414"/>
      <c r="N414"/>
      <c r="O414"/>
      <c r="P414"/>
      <c r="Q414"/>
      <c r="R414"/>
      <c r="S414"/>
    </row>
    <row r="415" spans="7:19" x14ac:dyDescent="0.25">
      <c r="G415"/>
      <c r="H415"/>
      <c r="I415"/>
      <c r="J415"/>
      <c r="K415" t="str">
        <f t="shared" si="8"/>
        <v/>
      </c>
      <c r="L415"/>
      <c r="M415"/>
      <c r="N415"/>
      <c r="O415"/>
      <c r="P415"/>
      <c r="Q415"/>
      <c r="R415"/>
      <c r="S415"/>
    </row>
    <row r="416" spans="7:19" x14ac:dyDescent="0.25">
      <c r="G416"/>
      <c r="H416"/>
      <c r="I416"/>
      <c r="J416"/>
      <c r="K416" t="str">
        <f t="shared" si="8"/>
        <v/>
      </c>
      <c r="L416"/>
      <c r="M416"/>
      <c r="N416"/>
      <c r="O416"/>
      <c r="P416"/>
      <c r="Q416"/>
      <c r="R416"/>
      <c r="S416"/>
    </row>
    <row r="417" spans="7:19" x14ac:dyDescent="0.25">
      <c r="G417"/>
      <c r="H417"/>
      <c r="I417"/>
      <c r="J417"/>
      <c r="K417" t="str">
        <f t="shared" si="8"/>
        <v/>
      </c>
      <c r="L417"/>
      <c r="M417"/>
      <c r="N417"/>
      <c r="O417"/>
      <c r="P417"/>
      <c r="Q417"/>
      <c r="R417"/>
      <c r="S417"/>
    </row>
    <row r="418" spans="7:19" x14ac:dyDescent="0.25">
      <c r="G418"/>
      <c r="H418"/>
      <c r="I418"/>
      <c r="J418"/>
      <c r="K418" t="str">
        <f t="shared" si="8"/>
        <v/>
      </c>
      <c r="L418"/>
      <c r="M418"/>
      <c r="N418"/>
      <c r="O418"/>
      <c r="P418"/>
      <c r="Q418"/>
      <c r="R418"/>
      <c r="S418"/>
    </row>
    <row r="419" spans="7:19" x14ac:dyDescent="0.25">
      <c r="G419"/>
      <c r="H419"/>
      <c r="I419"/>
      <c r="J419"/>
      <c r="K419" t="str">
        <f t="shared" si="8"/>
        <v/>
      </c>
      <c r="L419"/>
      <c r="M419"/>
      <c r="N419"/>
      <c r="O419"/>
      <c r="P419"/>
      <c r="Q419"/>
      <c r="R419"/>
      <c r="S419"/>
    </row>
    <row r="420" spans="7:19" x14ac:dyDescent="0.25">
      <c r="G420"/>
      <c r="H420"/>
      <c r="I420"/>
      <c r="J420"/>
      <c r="K420" t="str">
        <f t="shared" si="8"/>
        <v/>
      </c>
      <c r="L420"/>
      <c r="M420"/>
      <c r="N420"/>
      <c r="O420"/>
      <c r="P420"/>
      <c r="Q420"/>
      <c r="R420"/>
      <c r="S420"/>
    </row>
    <row r="421" spans="7:19" x14ac:dyDescent="0.25">
      <c r="G421"/>
      <c r="H421"/>
      <c r="I421"/>
      <c r="J421"/>
      <c r="K421" t="str">
        <f t="shared" si="8"/>
        <v/>
      </c>
      <c r="L421"/>
      <c r="M421"/>
      <c r="N421"/>
      <c r="O421"/>
      <c r="P421"/>
      <c r="Q421"/>
      <c r="R421"/>
      <c r="S421"/>
    </row>
    <row r="422" spans="7:19" x14ac:dyDescent="0.25">
      <c r="G422"/>
      <c r="H422"/>
      <c r="I422"/>
      <c r="J422"/>
      <c r="K422" t="str">
        <f t="shared" si="8"/>
        <v/>
      </c>
      <c r="L422"/>
      <c r="M422"/>
      <c r="N422"/>
      <c r="O422"/>
      <c r="P422"/>
      <c r="Q422"/>
      <c r="R422"/>
      <c r="S422"/>
    </row>
    <row r="423" spans="7:19" x14ac:dyDescent="0.25">
      <c r="G423"/>
      <c r="H423"/>
      <c r="I423"/>
      <c r="J423"/>
      <c r="K423" t="str">
        <f t="shared" si="8"/>
        <v/>
      </c>
      <c r="L423"/>
      <c r="M423"/>
      <c r="N423"/>
      <c r="O423"/>
      <c r="P423"/>
      <c r="Q423"/>
      <c r="R423"/>
      <c r="S423"/>
    </row>
    <row r="424" spans="7:19" x14ac:dyDescent="0.25">
      <c r="G424"/>
      <c r="H424"/>
      <c r="I424"/>
      <c r="J424"/>
      <c r="K424" t="str">
        <f t="shared" si="8"/>
        <v/>
      </c>
      <c r="L424"/>
      <c r="M424"/>
      <c r="N424"/>
      <c r="O424"/>
      <c r="P424"/>
      <c r="Q424"/>
      <c r="R424"/>
      <c r="S424"/>
    </row>
    <row r="425" spans="7:19" x14ac:dyDescent="0.25">
      <c r="G425"/>
      <c r="H425"/>
      <c r="I425"/>
      <c r="J425"/>
      <c r="K425" t="str">
        <f t="shared" si="8"/>
        <v/>
      </c>
      <c r="L425"/>
      <c r="M425"/>
      <c r="N425"/>
      <c r="O425"/>
      <c r="P425"/>
      <c r="Q425"/>
      <c r="R425"/>
      <c r="S425"/>
    </row>
    <row r="426" spans="7:19" x14ac:dyDescent="0.25">
      <c r="G426"/>
      <c r="H426"/>
      <c r="I426"/>
      <c r="J426"/>
      <c r="K426" t="str">
        <f t="shared" si="8"/>
        <v/>
      </c>
      <c r="L426"/>
      <c r="M426"/>
      <c r="N426"/>
      <c r="O426"/>
      <c r="P426"/>
      <c r="Q426"/>
      <c r="R426"/>
      <c r="S426"/>
    </row>
    <row r="427" spans="7:19" x14ac:dyDescent="0.25">
      <c r="G427"/>
      <c r="H427"/>
      <c r="I427"/>
      <c r="J427"/>
      <c r="K427" t="str">
        <f t="shared" si="8"/>
        <v/>
      </c>
      <c r="L427"/>
      <c r="M427"/>
      <c r="N427"/>
      <c r="O427"/>
      <c r="P427"/>
      <c r="Q427"/>
      <c r="R427"/>
      <c r="S427"/>
    </row>
    <row r="428" spans="7:19" x14ac:dyDescent="0.25">
      <c r="G428"/>
      <c r="H428"/>
      <c r="I428"/>
      <c r="J428"/>
      <c r="K428" t="str">
        <f t="shared" si="8"/>
        <v/>
      </c>
      <c r="L428"/>
      <c r="M428"/>
      <c r="N428"/>
      <c r="O428"/>
      <c r="P428"/>
      <c r="Q428"/>
      <c r="R428"/>
      <c r="S428"/>
    </row>
    <row r="429" spans="7:19" x14ac:dyDescent="0.25">
      <c r="G429"/>
      <c r="H429"/>
      <c r="I429"/>
      <c r="J429"/>
      <c r="K429" t="str">
        <f t="shared" si="8"/>
        <v/>
      </c>
      <c r="L429"/>
      <c r="M429"/>
      <c r="N429"/>
      <c r="O429"/>
      <c r="P429"/>
      <c r="Q429"/>
      <c r="R429"/>
      <c r="S429"/>
    </row>
    <row r="430" spans="7:19" x14ac:dyDescent="0.25">
      <c r="G430"/>
      <c r="H430"/>
      <c r="I430"/>
      <c r="J430"/>
      <c r="K430" t="str">
        <f t="shared" si="8"/>
        <v/>
      </c>
      <c r="L430"/>
      <c r="M430"/>
      <c r="N430"/>
      <c r="O430"/>
      <c r="P430"/>
      <c r="Q430"/>
      <c r="R430"/>
      <c r="S430"/>
    </row>
    <row r="431" spans="7:19" x14ac:dyDescent="0.25">
      <c r="G431"/>
      <c r="H431"/>
      <c r="I431"/>
      <c r="J431"/>
      <c r="K431" t="str">
        <f t="shared" si="8"/>
        <v/>
      </c>
      <c r="L431"/>
      <c r="M431"/>
      <c r="N431"/>
      <c r="O431"/>
      <c r="P431"/>
      <c r="Q431"/>
      <c r="R431"/>
      <c r="S431"/>
    </row>
    <row r="432" spans="7:19" x14ac:dyDescent="0.25">
      <c r="G432"/>
      <c r="H432"/>
      <c r="I432"/>
      <c r="J432"/>
      <c r="K432" t="str">
        <f t="shared" si="8"/>
        <v/>
      </c>
      <c r="L432"/>
      <c r="M432"/>
      <c r="N432"/>
      <c r="O432"/>
      <c r="P432"/>
      <c r="Q432"/>
      <c r="R432"/>
      <c r="S432"/>
    </row>
    <row r="433" spans="7:19" x14ac:dyDescent="0.25">
      <c r="G433"/>
      <c r="H433"/>
      <c r="I433"/>
      <c r="J433"/>
      <c r="K433" t="str">
        <f t="shared" si="8"/>
        <v/>
      </c>
      <c r="L433"/>
      <c r="M433"/>
      <c r="N433"/>
      <c r="O433"/>
      <c r="P433"/>
      <c r="Q433"/>
      <c r="R433"/>
      <c r="S433"/>
    </row>
    <row r="434" spans="7:19" x14ac:dyDescent="0.25">
      <c r="G434"/>
      <c r="H434"/>
      <c r="I434"/>
      <c r="J434"/>
      <c r="K434" t="str">
        <f t="shared" si="8"/>
        <v/>
      </c>
      <c r="L434"/>
      <c r="M434"/>
      <c r="N434"/>
      <c r="O434"/>
      <c r="P434"/>
      <c r="Q434"/>
      <c r="R434"/>
      <c r="S434"/>
    </row>
    <row r="435" spans="7:19" x14ac:dyDescent="0.25">
      <c r="G435"/>
      <c r="H435"/>
      <c r="I435"/>
      <c r="J435"/>
      <c r="K435" t="str">
        <f t="shared" si="8"/>
        <v/>
      </c>
      <c r="L435"/>
      <c r="M435"/>
      <c r="N435"/>
      <c r="O435"/>
      <c r="P435"/>
      <c r="Q435"/>
      <c r="R435"/>
      <c r="S435"/>
    </row>
    <row r="436" spans="7:19" x14ac:dyDescent="0.25">
      <c r="G436"/>
      <c r="H436"/>
      <c r="I436"/>
      <c r="J436"/>
      <c r="K436" t="str">
        <f t="shared" si="8"/>
        <v/>
      </c>
      <c r="L436"/>
      <c r="M436"/>
      <c r="N436"/>
      <c r="O436"/>
      <c r="P436"/>
      <c r="Q436"/>
      <c r="R436"/>
      <c r="S436"/>
    </row>
    <row r="437" spans="7:19" x14ac:dyDescent="0.25">
      <c r="G437"/>
      <c r="H437"/>
      <c r="I437"/>
      <c r="J437"/>
      <c r="K437" t="str">
        <f t="shared" si="8"/>
        <v/>
      </c>
      <c r="L437"/>
      <c r="M437"/>
      <c r="N437"/>
      <c r="O437"/>
      <c r="P437"/>
      <c r="Q437"/>
      <c r="R437"/>
      <c r="S437"/>
    </row>
    <row r="438" spans="7:19" x14ac:dyDescent="0.25">
      <c r="G438"/>
      <c r="H438"/>
      <c r="I438"/>
      <c r="J438"/>
      <c r="K438" t="str">
        <f t="shared" si="8"/>
        <v/>
      </c>
      <c r="L438"/>
      <c r="M438"/>
      <c r="N438"/>
      <c r="O438"/>
      <c r="P438"/>
      <c r="Q438"/>
      <c r="R438"/>
      <c r="S438"/>
    </row>
    <row r="439" spans="7:19" x14ac:dyDescent="0.25">
      <c r="G439"/>
      <c r="H439"/>
      <c r="I439"/>
      <c r="J439"/>
      <c r="K439" t="str">
        <f t="shared" si="8"/>
        <v/>
      </c>
      <c r="L439"/>
      <c r="M439"/>
      <c r="N439"/>
      <c r="O439"/>
      <c r="P439"/>
      <c r="Q439"/>
      <c r="R439"/>
      <c r="S439"/>
    </row>
    <row r="440" spans="7:19" x14ac:dyDescent="0.25">
      <c r="G440"/>
      <c r="H440"/>
      <c r="I440"/>
      <c r="J440"/>
      <c r="K440" t="str">
        <f t="shared" si="8"/>
        <v/>
      </c>
      <c r="L440"/>
      <c r="M440"/>
      <c r="N440"/>
      <c r="O440"/>
      <c r="P440"/>
      <c r="Q440"/>
      <c r="R440"/>
      <c r="S440"/>
    </row>
    <row r="441" spans="7:19" x14ac:dyDescent="0.25">
      <c r="G441"/>
      <c r="H441"/>
      <c r="I441"/>
      <c r="J441"/>
      <c r="K441" t="str">
        <f t="shared" si="8"/>
        <v/>
      </c>
      <c r="L441"/>
      <c r="M441"/>
      <c r="N441"/>
      <c r="O441"/>
      <c r="P441"/>
      <c r="Q441"/>
      <c r="R441"/>
      <c r="S441"/>
    </row>
    <row r="442" spans="7:19" x14ac:dyDescent="0.25">
      <c r="G442"/>
      <c r="H442"/>
      <c r="I442"/>
      <c r="J442"/>
      <c r="K442" t="str">
        <f t="shared" si="8"/>
        <v/>
      </c>
      <c r="L442"/>
      <c r="M442"/>
      <c r="N442"/>
      <c r="O442"/>
      <c r="P442"/>
      <c r="Q442"/>
      <c r="R442"/>
      <c r="S442"/>
    </row>
    <row r="443" spans="7:19" x14ac:dyDescent="0.25">
      <c r="G443"/>
      <c r="H443"/>
      <c r="I443"/>
      <c r="J443"/>
      <c r="K443" t="str">
        <f t="shared" si="8"/>
        <v/>
      </c>
      <c r="L443"/>
      <c r="M443"/>
      <c r="N443"/>
      <c r="O443"/>
      <c r="P443"/>
      <c r="Q443"/>
      <c r="R443"/>
      <c r="S443"/>
    </row>
    <row r="444" spans="7:19" x14ac:dyDescent="0.25">
      <c r="G444"/>
      <c r="H444"/>
      <c r="I444"/>
      <c r="J444"/>
      <c r="K444" t="str">
        <f t="shared" si="8"/>
        <v/>
      </c>
      <c r="L444"/>
      <c r="M444"/>
      <c r="N444"/>
      <c r="O444"/>
      <c r="P444"/>
      <c r="Q444"/>
      <c r="R444"/>
      <c r="S444"/>
    </row>
    <row r="445" spans="7:19" x14ac:dyDescent="0.25">
      <c r="G445"/>
      <c r="H445"/>
      <c r="I445"/>
      <c r="J445"/>
      <c r="K445" t="str">
        <f t="shared" si="8"/>
        <v/>
      </c>
      <c r="L445"/>
      <c r="M445"/>
      <c r="N445"/>
      <c r="O445"/>
      <c r="P445"/>
      <c r="Q445"/>
      <c r="R445"/>
      <c r="S445"/>
    </row>
    <row r="446" spans="7:19" x14ac:dyDescent="0.25">
      <c r="G446"/>
      <c r="H446"/>
      <c r="I446"/>
      <c r="J446"/>
      <c r="K446" t="str">
        <f t="shared" si="8"/>
        <v/>
      </c>
      <c r="L446"/>
      <c r="M446"/>
      <c r="N446"/>
      <c r="O446"/>
      <c r="P446"/>
      <c r="Q446"/>
      <c r="R446"/>
      <c r="S446"/>
    </row>
    <row r="447" spans="7:19" x14ac:dyDescent="0.25">
      <c r="G447"/>
      <c r="H447"/>
      <c r="I447"/>
      <c r="J447"/>
      <c r="K447" t="str">
        <f t="shared" si="8"/>
        <v/>
      </c>
      <c r="L447"/>
      <c r="M447"/>
      <c r="N447"/>
      <c r="O447"/>
      <c r="P447"/>
      <c r="Q447"/>
      <c r="R447"/>
      <c r="S447"/>
    </row>
    <row r="448" spans="7:19" x14ac:dyDescent="0.25">
      <c r="G448"/>
      <c r="H448"/>
      <c r="I448"/>
      <c r="J448"/>
      <c r="K448" t="str">
        <f t="shared" si="8"/>
        <v/>
      </c>
      <c r="L448"/>
      <c r="M448"/>
      <c r="N448"/>
      <c r="O448"/>
      <c r="P448"/>
      <c r="Q448"/>
      <c r="R448"/>
      <c r="S448"/>
    </row>
    <row r="449" spans="7:19" x14ac:dyDescent="0.25">
      <c r="G449"/>
      <c r="H449"/>
      <c r="I449"/>
      <c r="J449"/>
      <c r="K449" t="str">
        <f t="shared" si="8"/>
        <v/>
      </c>
      <c r="L449"/>
      <c r="M449"/>
      <c r="N449"/>
      <c r="O449"/>
      <c r="P449"/>
      <c r="Q449"/>
      <c r="R449"/>
      <c r="S449"/>
    </row>
    <row r="450" spans="7:19" x14ac:dyDescent="0.25">
      <c r="G450"/>
      <c r="H450"/>
      <c r="I450"/>
      <c r="J450"/>
      <c r="K450" t="str">
        <f t="shared" si="8"/>
        <v/>
      </c>
      <c r="L450"/>
      <c r="M450"/>
      <c r="N450"/>
      <c r="O450"/>
      <c r="P450"/>
      <c r="Q450"/>
      <c r="R450"/>
      <c r="S450"/>
    </row>
    <row r="451" spans="7:19" x14ac:dyDescent="0.25">
      <c r="G451"/>
      <c r="H451"/>
      <c r="I451"/>
      <c r="J451"/>
      <c r="K451" t="str">
        <f t="shared" si="8"/>
        <v/>
      </c>
      <c r="L451"/>
      <c r="M451"/>
      <c r="N451"/>
      <c r="O451"/>
      <c r="P451"/>
      <c r="Q451"/>
      <c r="R451"/>
      <c r="S451"/>
    </row>
    <row r="452" spans="7:19" x14ac:dyDescent="0.25">
      <c r="G452"/>
      <c r="H452"/>
      <c r="I452"/>
      <c r="J452"/>
      <c r="K452" t="str">
        <f t="shared" ref="K452:K510" si="9">IF(J452="","",IF(T452="@11\QBorrado@","Borrado",""))</f>
        <v/>
      </c>
      <c r="L452"/>
      <c r="M452"/>
      <c r="N452"/>
      <c r="O452"/>
      <c r="P452"/>
      <c r="Q452"/>
      <c r="R452"/>
      <c r="S452"/>
    </row>
    <row r="453" spans="7:19" x14ac:dyDescent="0.25">
      <c r="G453"/>
      <c r="H453"/>
      <c r="I453"/>
      <c r="J453"/>
      <c r="K453" t="str">
        <f t="shared" si="9"/>
        <v/>
      </c>
      <c r="L453"/>
      <c r="M453"/>
      <c r="N453"/>
      <c r="O453"/>
      <c r="P453"/>
      <c r="Q453"/>
      <c r="R453"/>
      <c r="S453"/>
    </row>
    <row r="454" spans="7:19" x14ac:dyDescent="0.25">
      <c r="G454"/>
      <c r="H454"/>
      <c r="I454"/>
      <c r="J454"/>
      <c r="K454" t="str">
        <f t="shared" si="9"/>
        <v/>
      </c>
      <c r="L454"/>
      <c r="M454"/>
      <c r="N454"/>
      <c r="O454"/>
      <c r="P454"/>
      <c r="Q454"/>
      <c r="R454"/>
      <c r="S454"/>
    </row>
    <row r="455" spans="7:19" x14ac:dyDescent="0.25">
      <c r="G455"/>
      <c r="H455"/>
      <c r="I455"/>
      <c r="J455"/>
      <c r="K455" t="str">
        <f t="shared" si="9"/>
        <v/>
      </c>
      <c r="L455"/>
      <c r="M455"/>
      <c r="N455"/>
      <c r="O455"/>
      <c r="P455"/>
      <c r="Q455"/>
      <c r="R455"/>
      <c r="S455"/>
    </row>
    <row r="456" spans="7:19" x14ac:dyDescent="0.25">
      <c r="G456"/>
      <c r="H456"/>
      <c r="I456"/>
      <c r="J456"/>
      <c r="K456" t="str">
        <f t="shared" si="9"/>
        <v/>
      </c>
      <c r="L456"/>
      <c r="M456"/>
      <c r="N456"/>
      <c r="O456"/>
      <c r="P456"/>
      <c r="Q456"/>
      <c r="R456"/>
      <c r="S456"/>
    </row>
    <row r="457" spans="7:19" x14ac:dyDescent="0.25">
      <c r="G457"/>
      <c r="H457"/>
      <c r="I457"/>
      <c r="J457"/>
      <c r="K457" t="str">
        <f t="shared" si="9"/>
        <v/>
      </c>
      <c r="L457"/>
      <c r="M457"/>
      <c r="N457"/>
      <c r="O457"/>
      <c r="P457"/>
      <c r="Q457"/>
      <c r="R457"/>
      <c r="S457"/>
    </row>
    <row r="458" spans="7:19" x14ac:dyDescent="0.25">
      <c r="G458"/>
      <c r="H458"/>
      <c r="I458"/>
      <c r="J458"/>
      <c r="K458" t="str">
        <f t="shared" si="9"/>
        <v/>
      </c>
      <c r="L458"/>
      <c r="M458"/>
      <c r="N458"/>
      <c r="O458"/>
      <c r="P458"/>
      <c r="Q458"/>
      <c r="R458"/>
      <c r="S458"/>
    </row>
    <row r="459" spans="7:19" x14ac:dyDescent="0.25">
      <c r="G459"/>
      <c r="H459"/>
      <c r="I459"/>
      <c r="J459"/>
      <c r="K459" t="str">
        <f t="shared" si="9"/>
        <v/>
      </c>
      <c r="L459"/>
      <c r="M459"/>
      <c r="N459"/>
      <c r="O459"/>
      <c r="P459"/>
      <c r="Q459"/>
      <c r="R459"/>
      <c r="S459"/>
    </row>
    <row r="460" spans="7:19" x14ac:dyDescent="0.25">
      <c r="G460"/>
      <c r="H460"/>
      <c r="I460"/>
      <c r="J460"/>
      <c r="K460" t="str">
        <f t="shared" si="9"/>
        <v/>
      </c>
      <c r="L460"/>
      <c r="M460"/>
      <c r="N460"/>
      <c r="O460"/>
      <c r="P460"/>
      <c r="Q460"/>
      <c r="R460"/>
      <c r="S460"/>
    </row>
    <row r="461" spans="7:19" x14ac:dyDescent="0.25">
      <c r="G461"/>
      <c r="H461"/>
      <c r="I461"/>
      <c r="J461"/>
      <c r="K461" t="str">
        <f t="shared" si="9"/>
        <v/>
      </c>
      <c r="L461"/>
      <c r="M461"/>
      <c r="N461"/>
      <c r="O461"/>
      <c r="P461"/>
      <c r="Q461"/>
      <c r="R461"/>
      <c r="S461"/>
    </row>
    <row r="462" spans="7:19" x14ac:dyDescent="0.25">
      <c r="G462"/>
      <c r="H462"/>
      <c r="I462"/>
      <c r="J462"/>
      <c r="K462" t="str">
        <f t="shared" si="9"/>
        <v/>
      </c>
      <c r="L462"/>
      <c r="M462"/>
      <c r="N462"/>
      <c r="O462"/>
      <c r="P462"/>
      <c r="Q462"/>
      <c r="R462"/>
      <c r="S462"/>
    </row>
    <row r="463" spans="7:19" x14ac:dyDescent="0.25">
      <c r="G463"/>
      <c r="H463"/>
      <c r="I463"/>
      <c r="J463"/>
      <c r="K463" t="str">
        <f t="shared" si="9"/>
        <v/>
      </c>
      <c r="L463"/>
      <c r="M463"/>
      <c r="N463"/>
      <c r="O463"/>
      <c r="P463"/>
      <c r="Q463"/>
      <c r="R463"/>
      <c r="S463"/>
    </row>
    <row r="464" spans="7:19" x14ac:dyDescent="0.25">
      <c r="G464"/>
      <c r="H464"/>
      <c r="I464"/>
      <c r="J464"/>
      <c r="K464" t="str">
        <f t="shared" si="9"/>
        <v/>
      </c>
      <c r="L464"/>
      <c r="M464"/>
      <c r="N464"/>
      <c r="O464"/>
      <c r="P464"/>
      <c r="Q464"/>
      <c r="R464"/>
      <c r="S464"/>
    </row>
    <row r="465" spans="7:19" x14ac:dyDescent="0.25">
      <c r="G465"/>
      <c r="H465"/>
      <c r="I465"/>
      <c r="J465"/>
      <c r="K465" t="str">
        <f t="shared" si="9"/>
        <v/>
      </c>
      <c r="L465"/>
      <c r="M465"/>
      <c r="N465"/>
      <c r="O465"/>
      <c r="P465"/>
      <c r="Q465"/>
      <c r="R465"/>
      <c r="S465"/>
    </row>
    <row r="466" spans="7:19" x14ac:dyDescent="0.25">
      <c r="G466"/>
      <c r="H466"/>
      <c r="I466"/>
      <c r="J466"/>
      <c r="K466" t="str">
        <f t="shared" si="9"/>
        <v/>
      </c>
      <c r="L466"/>
      <c r="M466"/>
      <c r="N466"/>
      <c r="O466"/>
      <c r="P466"/>
      <c r="Q466"/>
      <c r="R466"/>
      <c r="S466"/>
    </row>
    <row r="467" spans="7:19" x14ac:dyDescent="0.25">
      <c r="G467"/>
      <c r="H467"/>
      <c r="I467"/>
      <c r="J467"/>
      <c r="K467" t="str">
        <f t="shared" si="9"/>
        <v/>
      </c>
      <c r="L467"/>
      <c r="M467"/>
      <c r="N467"/>
      <c r="O467"/>
      <c r="P467"/>
      <c r="Q467"/>
      <c r="R467"/>
      <c r="S467"/>
    </row>
    <row r="468" spans="7:19" x14ac:dyDescent="0.25">
      <c r="G468"/>
      <c r="H468"/>
      <c r="I468"/>
      <c r="J468"/>
      <c r="K468" t="str">
        <f t="shared" si="9"/>
        <v/>
      </c>
      <c r="L468"/>
      <c r="M468"/>
      <c r="N468"/>
      <c r="O468"/>
      <c r="P468"/>
      <c r="Q468"/>
      <c r="R468"/>
      <c r="S468"/>
    </row>
    <row r="469" spans="7:19" x14ac:dyDescent="0.25">
      <c r="G469"/>
      <c r="H469"/>
      <c r="I469"/>
      <c r="J469"/>
      <c r="K469" t="str">
        <f t="shared" si="9"/>
        <v/>
      </c>
      <c r="L469"/>
      <c r="M469"/>
      <c r="N469"/>
      <c r="O469"/>
      <c r="P469"/>
      <c r="Q469"/>
      <c r="R469"/>
      <c r="S469"/>
    </row>
    <row r="470" spans="7:19" x14ac:dyDescent="0.25">
      <c r="G470"/>
      <c r="H470"/>
      <c r="I470"/>
      <c r="J470"/>
      <c r="K470" t="str">
        <f t="shared" si="9"/>
        <v/>
      </c>
      <c r="L470"/>
      <c r="M470"/>
      <c r="N470"/>
      <c r="O470"/>
      <c r="P470"/>
      <c r="Q470"/>
      <c r="R470"/>
      <c r="S470"/>
    </row>
    <row r="471" spans="7:19" x14ac:dyDescent="0.25">
      <c r="G471"/>
      <c r="H471"/>
      <c r="I471"/>
      <c r="J471"/>
      <c r="K471" t="str">
        <f t="shared" si="9"/>
        <v/>
      </c>
      <c r="L471"/>
      <c r="M471"/>
      <c r="N471"/>
      <c r="O471"/>
      <c r="P471"/>
      <c r="Q471"/>
      <c r="R471"/>
      <c r="S471"/>
    </row>
    <row r="472" spans="7:19" x14ac:dyDescent="0.25">
      <c r="G472"/>
      <c r="H472"/>
      <c r="I472"/>
      <c r="J472"/>
      <c r="K472" t="str">
        <f t="shared" si="9"/>
        <v/>
      </c>
      <c r="L472"/>
      <c r="M472"/>
      <c r="N472"/>
      <c r="O472"/>
      <c r="P472"/>
      <c r="Q472"/>
      <c r="R472"/>
      <c r="S472"/>
    </row>
    <row r="473" spans="7:19" x14ac:dyDescent="0.25">
      <c r="G473"/>
      <c r="H473"/>
      <c r="I473"/>
      <c r="J473"/>
      <c r="K473" t="str">
        <f t="shared" si="9"/>
        <v/>
      </c>
      <c r="L473"/>
      <c r="M473"/>
      <c r="N473"/>
      <c r="O473"/>
      <c r="P473"/>
      <c r="Q473"/>
      <c r="R473"/>
      <c r="S473"/>
    </row>
    <row r="474" spans="7:19" x14ac:dyDescent="0.25">
      <c r="G474"/>
      <c r="H474"/>
      <c r="I474"/>
      <c r="J474"/>
      <c r="K474" t="str">
        <f t="shared" si="9"/>
        <v/>
      </c>
      <c r="L474"/>
      <c r="M474"/>
      <c r="N474"/>
      <c r="O474"/>
      <c r="P474"/>
      <c r="Q474"/>
      <c r="R474"/>
      <c r="S474"/>
    </row>
    <row r="475" spans="7:19" x14ac:dyDescent="0.25">
      <c r="G475"/>
      <c r="H475"/>
      <c r="I475"/>
      <c r="J475"/>
      <c r="K475" t="str">
        <f t="shared" si="9"/>
        <v/>
      </c>
      <c r="L475"/>
      <c r="M475"/>
      <c r="N475"/>
      <c r="O475"/>
      <c r="P475"/>
      <c r="Q475"/>
      <c r="R475"/>
      <c r="S475"/>
    </row>
    <row r="476" spans="7:19" x14ac:dyDescent="0.25">
      <c r="G476"/>
      <c r="H476"/>
      <c r="I476"/>
      <c r="J476"/>
      <c r="K476" t="str">
        <f t="shared" si="9"/>
        <v/>
      </c>
      <c r="L476"/>
      <c r="M476"/>
      <c r="N476"/>
      <c r="O476"/>
      <c r="P476"/>
      <c r="Q476"/>
      <c r="R476"/>
      <c r="S476"/>
    </row>
    <row r="477" spans="7:19" x14ac:dyDescent="0.25">
      <c r="G477"/>
      <c r="H477"/>
      <c r="I477"/>
      <c r="J477"/>
      <c r="K477" t="str">
        <f t="shared" si="9"/>
        <v/>
      </c>
      <c r="L477"/>
      <c r="M477"/>
      <c r="N477"/>
      <c r="O477"/>
      <c r="P477"/>
      <c r="Q477"/>
      <c r="R477"/>
      <c r="S477"/>
    </row>
    <row r="478" spans="7:19" x14ac:dyDescent="0.25">
      <c r="G478"/>
      <c r="H478"/>
      <c r="I478"/>
      <c r="J478"/>
      <c r="K478" t="str">
        <f t="shared" si="9"/>
        <v/>
      </c>
      <c r="L478"/>
      <c r="M478"/>
      <c r="N478"/>
      <c r="O478"/>
      <c r="P478"/>
      <c r="Q478"/>
      <c r="R478"/>
      <c r="S478"/>
    </row>
    <row r="479" spans="7:19" x14ac:dyDescent="0.25">
      <c r="G479"/>
      <c r="H479"/>
      <c r="I479"/>
      <c r="J479"/>
      <c r="K479" t="str">
        <f t="shared" si="9"/>
        <v/>
      </c>
      <c r="L479"/>
      <c r="M479"/>
      <c r="N479"/>
      <c r="O479"/>
      <c r="P479"/>
      <c r="Q479"/>
      <c r="R479"/>
      <c r="S479"/>
    </row>
    <row r="480" spans="7:19" x14ac:dyDescent="0.25">
      <c r="G480"/>
      <c r="H480"/>
      <c r="I480"/>
      <c r="J480"/>
      <c r="K480" t="str">
        <f t="shared" si="9"/>
        <v/>
      </c>
      <c r="L480"/>
      <c r="M480"/>
      <c r="N480"/>
      <c r="O480"/>
      <c r="P480"/>
      <c r="Q480"/>
      <c r="R480"/>
      <c r="S480"/>
    </row>
    <row r="481" spans="7:19" x14ac:dyDescent="0.25">
      <c r="G481"/>
      <c r="H481"/>
      <c r="I481"/>
      <c r="J481"/>
      <c r="K481" t="str">
        <f t="shared" si="9"/>
        <v/>
      </c>
      <c r="L481"/>
      <c r="M481"/>
      <c r="N481"/>
      <c r="O481"/>
      <c r="P481"/>
      <c r="Q481"/>
      <c r="R481"/>
      <c r="S481"/>
    </row>
    <row r="482" spans="7:19" x14ac:dyDescent="0.25">
      <c r="G482"/>
      <c r="H482"/>
      <c r="I482"/>
      <c r="J482"/>
      <c r="K482" t="str">
        <f t="shared" si="9"/>
        <v/>
      </c>
      <c r="L482"/>
      <c r="M482"/>
      <c r="N482"/>
      <c r="O482"/>
      <c r="P482"/>
      <c r="Q482"/>
      <c r="R482"/>
      <c r="S482"/>
    </row>
    <row r="483" spans="7:19" x14ac:dyDescent="0.25">
      <c r="G483"/>
      <c r="H483"/>
      <c r="I483"/>
      <c r="J483"/>
      <c r="K483" t="str">
        <f t="shared" si="9"/>
        <v/>
      </c>
      <c r="L483"/>
      <c r="M483"/>
      <c r="N483"/>
      <c r="O483"/>
      <c r="P483"/>
      <c r="Q483"/>
      <c r="R483"/>
      <c r="S483"/>
    </row>
    <row r="484" spans="7:19" x14ac:dyDescent="0.25">
      <c r="G484"/>
      <c r="H484"/>
      <c r="I484"/>
      <c r="J484"/>
      <c r="K484" t="str">
        <f t="shared" si="9"/>
        <v/>
      </c>
      <c r="L484"/>
      <c r="M484"/>
      <c r="N484"/>
      <c r="O484"/>
      <c r="P484"/>
      <c r="Q484"/>
      <c r="R484"/>
      <c r="S484"/>
    </row>
    <row r="485" spans="7:19" x14ac:dyDescent="0.25">
      <c r="G485"/>
      <c r="H485"/>
      <c r="I485"/>
      <c r="J485"/>
      <c r="K485" t="str">
        <f t="shared" si="9"/>
        <v/>
      </c>
      <c r="L485"/>
      <c r="M485"/>
      <c r="N485"/>
      <c r="O485"/>
      <c r="P485"/>
      <c r="Q485"/>
      <c r="R485"/>
      <c r="S485"/>
    </row>
    <row r="486" spans="7:19" x14ac:dyDescent="0.25">
      <c r="G486"/>
      <c r="H486"/>
      <c r="I486"/>
      <c r="J486"/>
      <c r="K486" t="str">
        <f t="shared" si="9"/>
        <v/>
      </c>
      <c r="L486"/>
      <c r="M486"/>
      <c r="N486"/>
      <c r="O486"/>
      <c r="P486"/>
      <c r="Q486"/>
      <c r="R486"/>
      <c r="S486"/>
    </row>
    <row r="487" spans="7:19" x14ac:dyDescent="0.25">
      <c r="G487"/>
      <c r="H487"/>
      <c r="I487"/>
      <c r="J487"/>
      <c r="K487" t="str">
        <f t="shared" si="9"/>
        <v/>
      </c>
      <c r="L487"/>
      <c r="M487"/>
      <c r="N487"/>
      <c r="O487"/>
      <c r="P487"/>
      <c r="Q487"/>
      <c r="R487"/>
      <c r="S487"/>
    </row>
    <row r="488" spans="7:19" x14ac:dyDescent="0.25">
      <c r="G488"/>
      <c r="H488"/>
      <c r="I488"/>
      <c r="J488"/>
      <c r="K488" t="str">
        <f t="shared" si="9"/>
        <v/>
      </c>
      <c r="L488"/>
      <c r="M488"/>
      <c r="N488"/>
      <c r="O488"/>
      <c r="P488"/>
      <c r="Q488"/>
      <c r="R488"/>
      <c r="S488"/>
    </row>
    <row r="489" spans="7:19" x14ac:dyDescent="0.25">
      <c r="G489"/>
      <c r="H489"/>
      <c r="I489"/>
      <c r="J489"/>
      <c r="K489" t="str">
        <f t="shared" si="9"/>
        <v/>
      </c>
      <c r="L489"/>
      <c r="M489"/>
      <c r="N489"/>
      <c r="O489"/>
      <c r="P489"/>
      <c r="Q489"/>
      <c r="R489"/>
      <c r="S489"/>
    </row>
    <row r="490" spans="7:19" x14ac:dyDescent="0.25">
      <c r="G490"/>
      <c r="H490"/>
      <c r="I490"/>
      <c r="J490"/>
      <c r="K490" t="str">
        <f t="shared" si="9"/>
        <v/>
      </c>
      <c r="L490"/>
      <c r="M490"/>
      <c r="N490"/>
      <c r="O490"/>
      <c r="P490"/>
      <c r="Q490"/>
      <c r="R490"/>
      <c r="S490"/>
    </row>
    <row r="491" spans="7:19" x14ac:dyDescent="0.25">
      <c r="G491"/>
      <c r="H491"/>
      <c r="I491"/>
      <c r="J491"/>
      <c r="K491" t="str">
        <f t="shared" si="9"/>
        <v/>
      </c>
      <c r="L491"/>
      <c r="M491"/>
      <c r="N491"/>
      <c r="O491"/>
      <c r="P491"/>
      <c r="Q491"/>
      <c r="R491"/>
      <c r="S491"/>
    </row>
    <row r="492" spans="7:19" x14ac:dyDescent="0.25">
      <c r="G492"/>
      <c r="H492"/>
      <c r="I492"/>
      <c r="J492"/>
      <c r="K492" t="str">
        <f t="shared" si="9"/>
        <v/>
      </c>
      <c r="L492"/>
      <c r="M492"/>
      <c r="N492"/>
      <c r="O492"/>
      <c r="P492"/>
      <c r="Q492"/>
      <c r="R492"/>
      <c r="S492"/>
    </row>
    <row r="493" spans="7:19" x14ac:dyDescent="0.25">
      <c r="G493"/>
      <c r="H493"/>
      <c r="I493"/>
      <c r="J493"/>
      <c r="K493" t="str">
        <f t="shared" si="9"/>
        <v/>
      </c>
      <c r="L493"/>
      <c r="M493"/>
      <c r="N493"/>
      <c r="O493"/>
      <c r="P493"/>
      <c r="Q493"/>
      <c r="R493"/>
      <c r="S493"/>
    </row>
    <row r="494" spans="7:19" x14ac:dyDescent="0.25">
      <c r="G494"/>
      <c r="H494"/>
      <c r="I494"/>
      <c r="J494"/>
      <c r="K494" t="str">
        <f t="shared" si="9"/>
        <v/>
      </c>
      <c r="L494"/>
      <c r="M494"/>
      <c r="N494"/>
      <c r="O494"/>
      <c r="P494"/>
      <c r="Q494"/>
      <c r="R494"/>
      <c r="S494"/>
    </row>
    <row r="495" spans="7:19" x14ac:dyDescent="0.25">
      <c r="G495"/>
      <c r="H495"/>
      <c r="I495"/>
      <c r="J495"/>
      <c r="K495" t="str">
        <f t="shared" si="9"/>
        <v/>
      </c>
      <c r="L495"/>
      <c r="M495"/>
      <c r="N495"/>
      <c r="O495"/>
      <c r="P495"/>
      <c r="Q495"/>
      <c r="R495"/>
      <c r="S495"/>
    </row>
    <row r="496" spans="7:19" x14ac:dyDescent="0.25">
      <c r="G496"/>
      <c r="H496"/>
      <c r="I496"/>
      <c r="J496"/>
      <c r="K496" t="str">
        <f t="shared" si="9"/>
        <v/>
      </c>
      <c r="L496"/>
      <c r="M496"/>
      <c r="N496"/>
      <c r="O496"/>
      <c r="P496"/>
      <c r="Q496"/>
      <c r="R496"/>
      <c r="S496"/>
    </row>
    <row r="497" spans="7:19" x14ac:dyDescent="0.25">
      <c r="G497"/>
      <c r="H497"/>
      <c r="I497"/>
      <c r="J497"/>
      <c r="K497" t="str">
        <f t="shared" si="9"/>
        <v/>
      </c>
      <c r="L497"/>
      <c r="M497"/>
      <c r="N497"/>
      <c r="O497"/>
      <c r="P497"/>
      <c r="Q497"/>
      <c r="R497"/>
      <c r="S497"/>
    </row>
    <row r="498" spans="7:19" x14ac:dyDescent="0.25">
      <c r="G498"/>
      <c r="H498"/>
      <c r="I498"/>
      <c r="J498"/>
      <c r="K498" t="str">
        <f t="shared" si="9"/>
        <v/>
      </c>
      <c r="L498"/>
      <c r="M498"/>
      <c r="N498"/>
      <c r="O498"/>
      <c r="P498"/>
      <c r="Q498"/>
      <c r="R498"/>
      <c r="S498"/>
    </row>
    <row r="499" spans="7:19" x14ac:dyDescent="0.25">
      <c r="G499"/>
      <c r="H499"/>
      <c r="I499"/>
      <c r="J499"/>
      <c r="K499" t="str">
        <f t="shared" si="9"/>
        <v/>
      </c>
      <c r="L499"/>
      <c r="M499"/>
      <c r="N499"/>
      <c r="O499"/>
      <c r="P499"/>
      <c r="Q499"/>
      <c r="R499"/>
      <c r="S499"/>
    </row>
    <row r="500" spans="7:19" x14ac:dyDescent="0.25">
      <c r="G500"/>
      <c r="H500"/>
      <c r="I500"/>
      <c r="J500"/>
      <c r="K500" t="str">
        <f t="shared" si="9"/>
        <v/>
      </c>
      <c r="L500"/>
      <c r="M500"/>
      <c r="N500"/>
      <c r="O500"/>
      <c r="P500"/>
      <c r="Q500"/>
      <c r="R500"/>
      <c r="S500"/>
    </row>
    <row r="501" spans="7:19" x14ac:dyDescent="0.25">
      <c r="G501"/>
      <c r="H501"/>
      <c r="I501"/>
      <c r="J501"/>
      <c r="K501" t="str">
        <f t="shared" si="9"/>
        <v/>
      </c>
      <c r="L501"/>
      <c r="M501"/>
      <c r="N501"/>
      <c r="O501"/>
      <c r="P501"/>
      <c r="Q501"/>
      <c r="R501"/>
      <c r="S501"/>
    </row>
    <row r="502" spans="7:19" x14ac:dyDescent="0.25">
      <c r="G502"/>
      <c r="H502"/>
      <c r="I502"/>
      <c r="J502"/>
      <c r="K502" t="str">
        <f t="shared" si="9"/>
        <v/>
      </c>
      <c r="L502"/>
      <c r="M502"/>
      <c r="N502"/>
      <c r="O502"/>
      <c r="P502"/>
      <c r="Q502"/>
      <c r="R502"/>
      <c r="S502"/>
    </row>
    <row r="503" spans="7:19" x14ac:dyDescent="0.25">
      <c r="G503"/>
      <c r="H503"/>
      <c r="I503"/>
      <c r="J503"/>
      <c r="K503" t="str">
        <f t="shared" si="9"/>
        <v/>
      </c>
      <c r="L503"/>
      <c r="M503"/>
      <c r="N503"/>
      <c r="O503"/>
      <c r="P503"/>
      <c r="Q503"/>
      <c r="R503"/>
      <c r="S503"/>
    </row>
    <row r="504" spans="7:19" x14ac:dyDescent="0.25">
      <c r="G504"/>
      <c r="H504"/>
      <c r="I504"/>
      <c r="J504"/>
      <c r="K504" t="str">
        <f t="shared" si="9"/>
        <v/>
      </c>
      <c r="L504"/>
      <c r="M504"/>
      <c r="N504"/>
      <c r="O504"/>
      <c r="P504"/>
      <c r="Q504"/>
      <c r="R504"/>
      <c r="S504"/>
    </row>
    <row r="505" spans="7:19" x14ac:dyDescent="0.25">
      <c r="G505"/>
      <c r="H505"/>
      <c r="I505"/>
      <c r="J505"/>
      <c r="K505" t="str">
        <f t="shared" si="9"/>
        <v/>
      </c>
      <c r="L505"/>
      <c r="M505"/>
      <c r="N505"/>
      <c r="O505"/>
      <c r="P505"/>
      <c r="Q505"/>
      <c r="R505"/>
      <c r="S505"/>
    </row>
    <row r="506" spans="7:19" x14ac:dyDescent="0.25">
      <c r="G506"/>
      <c r="H506"/>
      <c r="I506"/>
      <c r="J506"/>
      <c r="K506" t="str">
        <f t="shared" si="9"/>
        <v/>
      </c>
      <c r="L506"/>
      <c r="M506"/>
      <c r="N506"/>
      <c r="O506"/>
      <c r="P506"/>
      <c r="Q506"/>
      <c r="R506"/>
      <c r="S506"/>
    </row>
    <row r="507" spans="7:19" x14ac:dyDescent="0.25">
      <c r="G507"/>
      <c r="H507"/>
      <c r="I507"/>
      <c r="J507"/>
      <c r="K507" t="str">
        <f t="shared" si="9"/>
        <v/>
      </c>
      <c r="L507"/>
      <c r="M507"/>
      <c r="N507"/>
      <c r="O507"/>
      <c r="P507"/>
      <c r="Q507"/>
      <c r="R507"/>
      <c r="S507"/>
    </row>
    <row r="508" spans="7:19" x14ac:dyDescent="0.25">
      <c r="G508"/>
      <c r="H508"/>
      <c r="I508"/>
      <c r="J508"/>
      <c r="K508" t="str">
        <f t="shared" si="9"/>
        <v/>
      </c>
      <c r="L508"/>
      <c r="M508"/>
      <c r="N508"/>
      <c r="O508"/>
      <c r="P508"/>
      <c r="Q508"/>
      <c r="R508"/>
      <c r="S508"/>
    </row>
    <row r="509" spans="7:19" x14ac:dyDescent="0.25">
      <c r="G509"/>
      <c r="H509"/>
      <c r="I509"/>
      <c r="J509"/>
      <c r="K509" t="str">
        <f t="shared" si="9"/>
        <v/>
      </c>
      <c r="L509"/>
      <c r="M509"/>
      <c r="N509"/>
      <c r="O509"/>
      <c r="P509"/>
      <c r="Q509"/>
      <c r="R509"/>
      <c r="S509"/>
    </row>
    <row r="510" spans="7:19" x14ac:dyDescent="0.25">
      <c r="G510"/>
      <c r="H510"/>
      <c r="I510"/>
      <c r="J510"/>
      <c r="K510" t="str">
        <f t="shared" si="9"/>
        <v/>
      </c>
      <c r="L510"/>
      <c r="M510"/>
      <c r="N510"/>
      <c r="O510"/>
      <c r="P510"/>
      <c r="Q510"/>
      <c r="R510"/>
      <c r="S510"/>
    </row>
    <row r="511" spans="7:19" x14ac:dyDescent="0.25"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7:19" x14ac:dyDescent="0.25"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7:19" x14ac:dyDescent="0.25"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7:19" x14ac:dyDescent="0.25"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7:19" x14ac:dyDescent="0.25">
      <c r="G515"/>
      <c r="H515"/>
      <c r="I515"/>
      <c r="J515"/>
      <c r="L515"/>
      <c r="M515"/>
      <c r="N515"/>
      <c r="O515"/>
      <c r="P515"/>
      <c r="Q515"/>
      <c r="R515"/>
      <c r="S515"/>
    </row>
    <row r="516" spans="7:19" x14ac:dyDescent="0.25">
      <c r="G516"/>
      <c r="H516"/>
      <c r="I516"/>
      <c r="J516"/>
      <c r="L516"/>
      <c r="M516"/>
      <c r="N516"/>
      <c r="O516"/>
      <c r="P516"/>
      <c r="Q516"/>
      <c r="R516"/>
      <c r="S516"/>
    </row>
    <row r="517" spans="7:19" x14ac:dyDescent="0.25">
      <c r="G517"/>
      <c r="H517"/>
      <c r="I517"/>
      <c r="J517"/>
      <c r="L517"/>
      <c r="M517"/>
      <c r="N517"/>
      <c r="O517"/>
      <c r="P517"/>
      <c r="Q517"/>
      <c r="R517"/>
      <c r="S517"/>
    </row>
    <row r="518" spans="7:19" x14ac:dyDescent="0.25">
      <c r="G518"/>
      <c r="H518"/>
      <c r="I518"/>
      <c r="J518"/>
      <c r="L518"/>
      <c r="M518"/>
      <c r="N518"/>
      <c r="O518"/>
      <c r="P518"/>
      <c r="Q518"/>
      <c r="R518"/>
      <c r="S518"/>
    </row>
    <row r="519" spans="7:19" x14ac:dyDescent="0.25">
      <c r="G519"/>
      <c r="H519"/>
      <c r="I519"/>
      <c r="J519"/>
      <c r="L519"/>
      <c r="M519"/>
      <c r="N519"/>
      <c r="O519"/>
      <c r="P519"/>
      <c r="Q519"/>
      <c r="R519"/>
      <c r="S519"/>
    </row>
    <row r="520" spans="7:19" x14ac:dyDescent="0.25">
      <c r="G520"/>
      <c r="H520"/>
      <c r="I520"/>
      <c r="J520"/>
      <c r="L520"/>
      <c r="M520"/>
      <c r="N520"/>
      <c r="O520"/>
      <c r="P520"/>
      <c r="Q520"/>
      <c r="R520"/>
      <c r="S520"/>
    </row>
    <row r="521" spans="7:19" x14ac:dyDescent="0.25">
      <c r="G521"/>
      <c r="H521"/>
      <c r="I521"/>
      <c r="J521"/>
      <c r="L521"/>
      <c r="M521"/>
      <c r="N521"/>
      <c r="O521"/>
      <c r="P521"/>
      <c r="Q521"/>
      <c r="R521"/>
      <c r="S521"/>
    </row>
    <row r="522" spans="7:19" x14ac:dyDescent="0.25">
      <c r="G522"/>
      <c r="H522"/>
      <c r="I522"/>
      <c r="J522"/>
      <c r="L522"/>
      <c r="M522"/>
      <c r="N522"/>
      <c r="O522"/>
      <c r="P522"/>
      <c r="Q522"/>
      <c r="R522"/>
      <c r="S522"/>
    </row>
    <row r="523" spans="7:19" x14ac:dyDescent="0.25">
      <c r="G523"/>
      <c r="H523"/>
      <c r="I523"/>
      <c r="J523"/>
      <c r="L523"/>
      <c r="M523"/>
      <c r="N523"/>
      <c r="O523"/>
      <c r="P523"/>
      <c r="Q523"/>
      <c r="R523"/>
      <c r="S523"/>
    </row>
    <row r="524" spans="7:19" x14ac:dyDescent="0.25">
      <c r="G524"/>
      <c r="H524"/>
      <c r="I524"/>
      <c r="J524"/>
      <c r="L524"/>
      <c r="M524"/>
      <c r="N524"/>
      <c r="O524"/>
      <c r="P524"/>
      <c r="Q524"/>
      <c r="R524"/>
      <c r="S524"/>
    </row>
    <row r="525" spans="7:19" x14ac:dyDescent="0.25">
      <c r="G525"/>
      <c r="H525"/>
      <c r="I525"/>
      <c r="J525"/>
      <c r="L525"/>
      <c r="M525"/>
      <c r="N525"/>
      <c r="O525"/>
      <c r="P525"/>
      <c r="Q525"/>
      <c r="R525"/>
      <c r="S525"/>
    </row>
    <row r="526" spans="7:19" x14ac:dyDescent="0.25">
      <c r="G526"/>
      <c r="H526"/>
      <c r="I526"/>
      <c r="J526"/>
      <c r="L526"/>
      <c r="M526"/>
      <c r="N526"/>
      <c r="O526"/>
      <c r="P526"/>
      <c r="Q526"/>
      <c r="R526"/>
      <c r="S526"/>
    </row>
    <row r="527" spans="7:19" x14ac:dyDescent="0.25">
      <c r="G527"/>
      <c r="H527"/>
      <c r="I527"/>
      <c r="J527"/>
      <c r="L527"/>
      <c r="M527"/>
      <c r="N527"/>
      <c r="O527"/>
      <c r="P527"/>
      <c r="Q527"/>
      <c r="R527"/>
      <c r="S527"/>
    </row>
    <row r="528" spans="7:19" x14ac:dyDescent="0.25">
      <c r="G528"/>
      <c r="H528"/>
      <c r="I528"/>
      <c r="J528"/>
      <c r="L528"/>
      <c r="M528"/>
      <c r="N528"/>
      <c r="O528"/>
      <c r="P528"/>
      <c r="Q528"/>
      <c r="R528"/>
      <c r="S528"/>
    </row>
    <row r="529" spans="7:19" x14ac:dyDescent="0.25">
      <c r="G529"/>
      <c r="H529"/>
      <c r="I529"/>
      <c r="J529"/>
      <c r="L529"/>
      <c r="M529"/>
      <c r="N529"/>
      <c r="O529"/>
      <c r="P529"/>
      <c r="Q529"/>
      <c r="R529"/>
      <c r="S529"/>
    </row>
    <row r="530" spans="7:19" x14ac:dyDescent="0.25">
      <c r="G530"/>
      <c r="H530"/>
      <c r="I530"/>
      <c r="J530"/>
      <c r="L530"/>
      <c r="M530"/>
      <c r="N530"/>
      <c r="O530"/>
      <c r="P530"/>
      <c r="Q530"/>
      <c r="R530"/>
      <c r="S530"/>
    </row>
    <row r="531" spans="7:19" x14ac:dyDescent="0.25">
      <c r="G531"/>
      <c r="H531"/>
      <c r="I531"/>
      <c r="J531"/>
      <c r="L531"/>
      <c r="M531"/>
      <c r="N531"/>
      <c r="O531"/>
      <c r="P531"/>
      <c r="Q531"/>
      <c r="R531"/>
      <c r="S531"/>
    </row>
    <row r="532" spans="7:19" x14ac:dyDescent="0.25">
      <c r="G532"/>
      <c r="H532"/>
      <c r="I532"/>
      <c r="J532"/>
      <c r="L532"/>
      <c r="M532"/>
      <c r="N532"/>
      <c r="O532"/>
      <c r="P532"/>
      <c r="Q532"/>
      <c r="R532"/>
      <c r="S532"/>
    </row>
    <row r="533" spans="7:19" x14ac:dyDescent="0.25">
      <c r="G533"/>
      <c r="H533"/>
      <c r="I533"/>
      <c r="J533"/>
      <c r="L533"/>
      <c r="M533"/>
      <c r="N533"/>
      <c r="O533"/>
      <c r="P533"/>
      <c r="Q533"/>
      <c r="R533"/>
      <c r="S533"/>
    </row>
    <row r="534" spans="7:19" x14ac:dyDescent="0.25">
      <c r="G534"/>
      <c r="H534"/>
      <c r="I534"/>
      <c r="J534"/>
      <c r="L534"/>
      <c r="M534"/>
      <c r="N534"/>
      <c r="O534"/>
      <c r="P534"/>
      <c r="Q534"/>
      <c r="R534"/>
      <c r="S534"/>
    </row>
    <row r="535" spans="7:19" x14ac:dyDescent="0.25">
      <c r="G535"/>
      <c r="H535"/>
      <c r="I535"/>
      <c r="J535"/>
      <c r="L535"/>
      <c r="M535"/>
      <c r="N535"/>
      <c r="O535"/>
      <c r="P535"/>
      <c r="Q535"/>
      <c r="R535"/>
      <c r="S535"/>
    </row>
    <row r="536" spans="7:19" x14ac:dyDescent="0.25">
      <c r="G536"/>
      <c r="H536"/>
      <c r="I536"/>
      <c r="J536"/>
      <c r="L536"/>
      <c r="M536"/>
      <c r="N536"/>
      <c r="O536"/>
      <c r="P536"/>
      <c r="Q536"/>
      <c r="R536"/>
      <c r="S536"/>
    </row>
    <row r="537" spans="7:19" x14ac:dyDescent="0.25">
      <c r="G537"/>
      <c r="H537"/>
      <c r="I537"/>
      <c r="J537"/>
      <c r="L537"/>
      <c r="M537"/>
      <c r="N537"/>
      <c r="O537"/>
      <c r="P537"/>
      <c r="Q537"/>
      <c r="R537"/>
      <c r="S537"/>
    </row>
    <row r="538" spans="7:19" x14ac:dyDescent="0.25">
      <c r="G538"/>
      <c r="H538"/>
      <c r="I538"/>
      <c r="J538"/>
      <c r="L538"/>
      <c r="M538"/>
      <c r="N538"/>
      <c r="O538"/>
      <c r="P538"/>
      <c r="Q538"/>
      <c r="R538"/>
      <c r="S538"/>
    </row>
    <row r="539" spans="7:19" x14ac:dyDescent="0.25">
      <c r="G539"/>
      <c r="H539"/>
      <c r="I539"/>
      <c r="J539"/>
      <c r="L539"/>
      <c r="M539"/>
      <c r="N539"/>
      <c r="O539"/>
      <c r="P539"/>
      <c r="Q539"/>
      <c r="R539"/>
      <c r="S539"/>
    </row>
    <row r="540" spans="7:19" x14ac:dyDescent="0.25">
      <c r="G540"/>
      <c r="H540"/>
      <c r="I540"/>
      <c r="J540"/>
      <c r="L540"/>
      <c r="M540"/>
      <c r="N540"/>
      <c r="O540"/>
      <c r="P540"/>
      <c r="Q540"/>
      <c r="R540"/>
      <c r="S540"/>
    </row>
    <row r="541" spans="7:19" x14ac:dyDescent="0.25">
      <c r="G541"/>
      <c r="H541"/>
      <c r="I541"/>
      <c r="J541"/>
      <c r="L541"/>
      <c r="M541"/>
      <c r="N541"/>
      <c r="O541"/>
      <c r="P541"/>
      <c r="Q541"/>
      <c r="R541"/>
      <c r="S541"/>
    </row>
    <row r="542" spans="7:19" x14ac:dyDescent="0.25">
      <c r="G542"/>
      <c r="H542"/>
      <c r="I542"/>
      <c r="J542"/>
      <c r="L542"/>
      <c r="M542"/>
      <c r="N542"/>
      <c r="O542"/>
      <c r="P542"/>
      <c r="Q542"/>
      <c r="R542"/>
      <c r="S542"/>
    </row>
    <row r="543" spans="7:19" x14ac:dyDescent="0.25">
      <c r="G543"/>
      <c r="H543"/>
      <c r="I543"/>
      <c r="J543"/>
      <c r="L543"/>
      <c r="M543"/>
      <c r="N543"/>
      <c r="O543"/>
      <c r="P543"/>
      <c r="Q543"/>
      <c r="R543"/>
      <c r="S543"/>
    </row>
    <row r="544" spans="7:19" x14ac:dyDescent="0.25">
      <c r="G544"/>
      <c r="H544"/>
      <c r="I544"/>
      <c r="J544"/>
      <c r="L544"/>
      <c r="M544"/>
      <c r="N544"/>
      <c r="O544"/>
      <c r="P544"/>
      <c r="Q544"/>
      <c r="R544"/>
      <c r="S544"/>
    </row>
    <row r="545" spans="7:19" x14ac:dyDescent="0.25">
      <c r="G545"/>
      <c r="H545"/>
      <c r="I545"/>
      <c r="J545"/>
      <c r="L545"/>
      <c r="M545"/>
      <c r="N545"/>
      <c r="O545"/>
      <c r="P545"/>
      <c r="Q545"/>
      <c r="R545"/>
      <c r="S545"/>
    </row>
    <row r="546" spans="7:19" x14ac:dyDescent="0.25">
      <c r="G546"/>
      <c r="H546"/>
      <c r="I546"/>
      <c r="J546"/>
      <c r="L546"/>
      <c r="M546"/>
      <c r="N546"/>
      <c r="O546"/>
      <c r="P546"/>
      <c r="Q546"/>
      <c r="R546"/>
      <c r="S546"/>
    </row>
    <row r="547" spans="7:19" x14ac:dyDescent="0.25">
      <c r="G547"/>
      <c r="H547"/>
      <c r="I547"/>
      <c r="J547"/>
      <c r="L547"/>
      <c r="M547"/>
      <c r="N547"/>
      <c r="O547"/>
      <c r="P547"/>
      <c r="Q547"/>
      <c r="R547"/>
      <c r="S547"/>
    </row>
    <row r="548" spans="7:19" x14ac:dyDescent="0.25">
      <c r="G548"/>
      <c r="H548"/>
      <c r="I548"/>
      <c r="J548"/>
      <c r="L548"/>
      <c r="M548"/>
      <c r="N548"/>
      <c r="O548"/>
      <c r="P548"/>
      <c r="Q548"/>
      <c r="R548"/>
      <c r="S548"/>
    </row>
    <row r="549" spans="7:19" x14ac:dyDescent="0.25">
      <c r="G549"/>
      <c r="H549"/>
      <c r="I549"/>
      <c r="J549"/>
      <c r="L549"/>
      <c r="M549"/>
      <c r="N549"/>
      <c r="O549"/>
      <c r="P549"/>
      <c r="Q549"/>
      <c r="R549"/>
      <c r="S549"/>
    </row>
    <row r="550" spans="7:19" x14ac:dyDescent="0.25">
      <c r="G550"/>
      <c r="H550"/>
      <c r="I550"/>
      <c r="J550"/>
      <c r="L550"/>
      <c r="M550"/>
      <c r="N550"/>
      <c r="O550"/>
      <c r="P550"/>
      <c r="Q550"/>
      <c r="R550"/>
      <c r="S550"/>
    </row>
    <row r="551" spans="7:19" x14ac:dyDescent="0.25">
      <c r="G551"/>
      <c r="H551"/>
      <c r="I551"/>
      <c r="J551"/>
      <c r="L551"/>
      <c r="M551"/>
      <c r="N551"/>
      <c r="O551"/>
      <c r="P551"/>
      <c r="Q551"/>
      <c r="R551"/>
      <c r="S551"/>
    </row>
    <row r="552" spans="7:19" x14ac:dyDescent="0.25">
      <c r="G552"/>
      <c r="H552"/>
      <c r="I552"/>
      <c r="J552"/>
      <c r="L552"/>
      <c r="M552"/>
      <c r="N552"/>
      <c r="O552"/>
      <c r="P552"/>
      <c r="Q552"/>
      <c r="R552"/>
      <c r="S552"/>
    </row>
    <row r="553" spans="7:19" x14ac:dyDescent="0.25">
      <c r="G553"/>
      <c r="H553"/>
      <c r="I553"/>
      <c r="J553"/>
      <c r="L553"/>
      <c r="M553"/>
      <c r="N553"/>
      <c r="O553"/>
      <c r="P553"/>
      <c r="Q553"/>
      <c r="R553"/>
      <c r="S553"/>
    </row>
    <row r="554" spans="7:19" x14ac:dyDescent="0.25">
      <c r="G554"/>
      <c r="H554"/>
      <c r="I554"/>
      <c r="J554"/>
      <c r="L554"/>
      <c r="M554"/>
      <c r="N554"/>
      <c r="O554"/>
      <c r="P554"/>
      <c r="Q554"/>
      <c r="R554"/>
      <c r="S554"/>
    </row>
    <row r="555" spans="7:19" x14ac:dyDescent="0.25">
      <c r="G555"/>
      <c r="H555"/>
      <c r="I555"/>
      <c r="J555"/>
      <c r="L555"/>
      <c r="M555"/>
      <c r="N555"/>
      <c r="O555"/>
      <c r="P555"/>
      <c r="Q555"/>
      <c r="R555"/>
      <c r="S555"/>
    </row>
    <row r="556" spans="7:19" x14ac:dyDescent="0.25">
      <c r="G556"/>
      <c r="H556"/>
      <c r="I556"/>
      <c r="J556"/>
      <c r="L556"/>
      <c r="M556"/>
      <c r="N556"/>
      <c r="O556"/>
      <c r="P556"/>
      <c r="Q556"/>
      <c r="R556"/>
      <c r="S556"/>
    </row>
    <row r="557" spans="7:19" x14ac:dyDescent="0.25">
      <c r="G557"/>
      <c r="H557"/>
      <c r="I557"/>
      <c r="J557"/>
      <c r="L557"/>
      <c r="M557"/>
      <c r="N557"/>
      <c r="O557"/>
      <c r="P557"/>
      <c r="Q557"/>
      <c r="R557"/>
      <c r="S557"/>
    </row>
    <row r="558" spans="7:19" x14ac:dyDescent="0.25">
      <c r="G558"/>
      <c r="H558"/>
      <c r="I558"/>
      <c r="J558"/>
      <c r="L558"/>
      <c r="M558"/>
      <c r="N558"/>
      <c r="O558"/>
      <c r="P558"/>
      <c r="Q558"/>
      <c r="R558"/>
      <c r="S558"/>
    </row>
    <row r="559" spans="7:19" x14ac:dyDescent="0.25">
      <c r="G559"/>
      <c r="H559"/>
      <c r="I559"/>
      <c r="J559"/>
      <c r="L559"/>
      <c r="M559"/>
      <c r="N559"/>
      <c r="O559"/>
      <c r="P559"/>
      <c r="Q559"/>
      <c r="R559"/>
      <c r="S559"/>
    </row>
    <row r="560" spans="7:19" x14ac:dyDescent="0.25">
      <c r="G560"/>
      <c r="H560"/>
      <c r="I560"/>
      <c r="J560"/>
      <c r="L560"/>
      <c r="M560"/>
      <c r="N560"/>
      <c r="O560"/>
      <c r="P560"/>
      <c r="Q560"/>
      <c r="R560"/>
      <c r="S560"/>
    </row>
    <row r="561" spans="7:19" x14ac:dyDescent="0.25">
      <c r="G561"/>
      <c r="H561"/>
      <c r="I561"/>
      <c r="J561"/>
      <c r="L561"/>
      <c r="M561"/>
      <c r="N561"/>
      <c r="O561"/>
      <c r="P561"/>
      <c r="Q561"/>
      <c r="R561"/>
      <c r="S561"/>
    </row>
    <row r="562" spans="7:19" x14ac:dyDescent="0.25">
      <c r="G562"/>
      <c r="H562"/>
      <c r="I562"/>
      <c r="J562"/>
      <c r="L562"/>
      <c r="M562"/>
      <c r="N562"/>
      <c r="O562"/>
      <c r="P562"/>
      <c r="Q562"/>
      <c r="R562"/>
      <c r="S562"/>
    </row>
    <row r="563" spans="7:19" x14ac:dyDescent="0.25">
      <c r="G563"/>
      <c r="H563"/>
      <c r="I563"/>
      <c r="J563"/>
      <c r="L563"/>
      <c r="M563"/>
      <c r="N563"/>
      <c r="O563"/>
      <c r="P563"/>
      <c r="Q563"/>
      <c r="R563"/>
      <c r="S563"/>
    </row>
    <row r="564" spans="7:19" x14ac:dyDescent="0.25">
      <c r="G564"/>
      <c r="H564"/>
      <c r="I564"/>
      <c r="J564"/>
      <c r="L564"/>
      <c r="M564"/>
      <c r="N564"/>
      <c r="O564"/>
      <c r="P564"/>
      <c r="Q564"/>
      <c r="R564"/>
      <c r="S564"/>
    </row>
    <row r="565" spans="7:19" x14ac:dyDescent="0.25">
      <c r="G565"/>
      <c r="H565"/>
      <c r="I565"/>
      <c r="J565"/>
      <c r="L565"/>
      <c r="M565"/>
      <c r="N565"/>
      <c r="O565"/>
      <c r="P565"/>
      <c r="Q565"/>
      <c r="R565"/>
      <c r="S565"/>
    </row>
    <row r="566" spans="7:19" x14ac:dyDescent="0.25">
      <c r="G566"/>
      <c r="H566"/>
      <c r="I566"/>
      <c r="J566"/>
      <c r="L566"/>
      <c r="M566"/>
      <c r="N566"/>
      <c r="O566"/>
      <c r="P566"/>
      <c r="Q566"/>
      <c r="R566"/>
      <c r="S566"/>
    </row>
    <row r="567" spans="7:19" x14ac:dyDescent="0.25">
      <c r="G567"/>
      <c r="H567"/>
      <c r="I567"/>
      <c r="J567"/>
      <c r="L567"/>
      <c r="M567"/>
      <c r="N567"/>
      <c r="O567"/>
      <c r="P567"/>
      <c r="Q567"/>
      <c r="R567"/>
      <c r="S567"/>
    </row>
    <row r="568" spans="7:19" x14ac:dyDescent="0.25">
      <c r="G568"/>
      <c r="H568"/>
      <c r="I568"/>
      <c r="J568"/>
      <c r="L568"/>
      <c r="M568"/>
      <c r="N568"/>
      <c r="O568"/>
      <c r="P568"/>
      <c r="Q568"/>
      <c r="R568"/>
      <c r="S568"/>
    </row>
    <row r="569" spans="7:19" x14ac:dyDescent="0.25">
      <c r="G569"/>
      <c r="H569"/>
      <c r="I569"/>
      <c r="J569"/>
      <c r="L569"/>
      <c r="M569"/>
      <c r="N569"/>
      <c r="O569"/>
      <c r="P569"/>
      <c r="Q569"/>
      <c r="R569"/>
      <c r="S569"/>
    </row>
    <row r="570" spans="7:19" x14ac:dyDescent="0.25">
      <c r="G570"/>
      <c r="H570"/>
      <c r="I570"/>
      <c r="J570"/>
      <c r="L570"/>
      <c r="M570"/>
      <c r="N570"/>
      <c r="O570"/>
      <c r="P570"/>
      <c r="Q570"/>
      <c r="R570"/>
      <c r="S570"/>
    </row>
    <row r="571" spans="7:19" x14ac:dyDescent="0.25">
      <c r="G571"/>
      <c r="H571"/>
      <c r="I571"/>
      <c r="J571"/>
      <c r="L571"/>
      <c r="M571"/>
      <c r="N571"/>
      <c r="O571"/>
      <c r="P571"/>
      <c r="Q571"/>
      <c r="R571"/>
      <c r="S571"/>
    </row>
    <row r="572" spans="7:19" x14ac:dyDescent="0.25">
      <c r="G572"/>
      <c r="H572"/>
      <c r="I572"/>
      <c r="J572"/>
      <c r="L572"/>
      <c r="M572"/>
      <c r="N572"/>
      <c r="O572"/>
      <c r="P572"/>
      <c r="Q572"/>
      <c r="R572"/>
      <c r="S572"/>
    </row>
    <row r="573" spans="7:19" x14ac:dyDescent="0.25">
      <c r="G573"/>
      <c r="H573"/>
      <c r="I573"/>
      <c r="J573"/>
      <c r="L573"/>
      <c r="M573"/>
      <c r="N573"/>
      <c r="O573"/>
      <c r="P573"/>
      <c r="Q573"/>
      <c r="R573"/>
      <c r="S573"/>
    </row>
    <row r="574" spans="7:19" x14ac:dyDescent="0.25">
      <c r="G574"/>
      <c r="H574"/>
      <c r="I574"/>
      <c r="J574"/>
      <c r="L574"/>
      <c r="M574"/>
      <c r="N574"/>
      <c r="O574"/>
      <c r="P574"/>
      <c r="Q574"/>
      <c r="R574"/>
      <c r="S574"/>
    </row>
    <row r="575" spans="7:19" x14ac:dyDescent="0.25">
      <c r="G575"/>
      <c r="H575"/>
      <c r="I575"/>
      <c r="J575"/>
      <c r="L575"/>
      <c r="M575"/>
      <c r="N575"/>
      <c r="O575"/>
      <c r="P575"/>
      <c r="Q575"/>
      <c r="R575"/>
      <c r="S575"/>
    </row>
    <row r="576" spans="7:19" x14ac:dyDescent="0.25">
      <c r="G576"/>
      <c r="H576"/>
      <c r="I576"/>
      <c r="J576"/>
      <c r="L576"/>
      <c r="M576"/>
      <c r="N576"/>
      <c r="O576"/>
      <c r="P576"/>
      <c r="Q576"/>
      <c r="R576"/>
      <c r="S576"/>
    </row>
    <row r="577" spans="7:19" x14ac:dyDescent="0.25">
      <c r="G577"/>
      <c r="H577"/>
      <c r="I577"/>
      <c r="J577"/>
      <c r="L577"/>
      <c r="M577"/>
      <c r="N577"/>
      <c r="O577"/>
      <c r="P577"/>
      <c r="Q577"/>
      <c r="R577"/>
      <c r="S577"/>
    </row>
    <row r="578" spans="7:19" x14ac:dyDescent="0.25">
      <c r="G578"/>
      <c r="H578"/>
      <c r="I578"/>
      <c r="J578"/>
      <c r="L578"/>
      <c r="M578"/>
      <c r="N578"/>
      <c r="O578"/>
      <c r="P578"/>
      <c r="Q578"/>
      <c r="R578"/>
      <c r="S578"/>
    </row>
    <row r="579" spans="7:19" x14ac:dyDescent="0.25">
      <c r="G579"/>
      <c r="H579"/>
      <c r="I579"/>
      <c r="J579"/>
      <c r="L579"/>
      <c r="M579"/>
      <c r="N579"/>
      <c r="O579"/>
      <c r="P579"/>
      <c r="Q579"/>
      <c r="R579"/>
      <c r="S579"/>
    </row>
    <row r="580" spans="7:19" x14ac:dyDescent="0.25">
      <c r="G580"/>
      <c r="H580"/>
      <c r="I580"/>
      <c r="J580"/>
      <c r="L580"/>
      <c r="M580"/>
      <c r="N580"/>
      <c r="O580"/>
      <c r="P580"/>
      <c r="Q580"/>
      <c r="R580"/>
      <c r="S580"/>
    </row>
    <row r="581" spans="7:19" x14ac:dyDescent="0.25">
      <c r="G581"/>
      <c r="H581"/>
      <c r="I581"/>
      <c r="J581"/>
      <c r="L581"/>
      <c r="M581"/>
      <c r="N581"/>
      <c r="O581"/>
      <c r="P581"/>
      <c r="Q581"/>
      <c r="R581"/>
      <c r="S581"/>
    </row>
    <row r="582" spans="7:19" x14ac:dyDescent="0.25">
      <c r="G582"/>
      <c r="H582"/>
      <c r="I582"/>
      <c r="J582"/>
      <c r="L582"/>
      <c r="M582"/>
      <c r="N582"/>
      <c r="O582"/>
      <c r="P582"/>
      <c r="Q582"/>
      <c r="R582"/>
      <c r="S582"/>
    </row>
    <row r="583" spans="7:19" x14ac:dyDescent="0.25">
      <c r="G583"/>
      <c r="H583"/>
      <c r="I583"/>
      <c r="J583"/>
      <c r="L583"/>
      <c r="M583"/>
      <c r="N583"/>
      <c r="O583"/>
      <c r="P583"/>
      <c r="Q583"/>
      <c r="R583"/>
      <c r="S583"/>
    </row>
    <row r="584" spans="7:19" x14ac:dyDescent="0.25">
      <c r="G584"/>
      <c r="H584"/>
      <c r="I584"/>
      <c r="J584"/>
      <c r="L584"/>
      <c r="M584"/>
      <c r="N584"/>
      <c r="O584"/>
      <c r="P584"/>
      <c r="Q584"/>
      <c r="R584"/>
      <c r="S584"/>
    </row>
    <row r="585" spans="7:19" x14ac:dyDescent="0.25">
      <c r="G585"/>
      <c r="H585"/>
      <c r="I585"/>
      <c r="J585"/>
      <c r="L585"/>
      <c r="M585"/>
      <c r="N585"/>
      <c r="O585"/>
      <c r="P585"/>
      <c r="Q585"/>
      <c r="R585"/>
      <c r="S585"/>
    </row>
    <row r="586" spans="7:19" x14ac:dyDescent="0.25">
      <c r="G586"/>
      <c r="H586"/>
      <c r="I586"/>
      <c r="J586"/>
      <c r="L586"/>
      <c r="M586"/>
      <c r="N586"/>
      <c r="O586"/>
      <c r="P586"/>
      <c r="Q586"/>
      <c r="R586"/>
      <c r="S586"/>
    </row>
    <row r="587" spans="7:19" x14ac:dyDescent="0.25">
      <c r="G587"/>
      <c r="H587"/>
      <c r="I587"/>
      <c r="J587"/>
      <c r="L587"/>
      <c r="M587"/>
      <c r="N587"/>
      <c r="O587"/>
      <c r="P587"/>
      <c r="Q587"/>
      <c r="R587"/>
      <c r="S587"/>
    </row>
    <row r="588" spans="7:19" x14ac:dyDescent="0.25">
      <c r="G588"/>
      <c r="H588"/>
      <c r="I588"/>
      <c r="J588"/>
      <c r="L588"/>
      <c r="M588"/>
      <c r="N588"/>
      <c r="O588"/>
      <c r="P588"/>
      <c r="Q588"/>
      <c r="R588"/>
      <c r="S588"/>
    </row>
    <row r="589" spans="7:19" x14ac:dyDescent="0.25">
      <c r="G589"/>
      <c r="H589"/>
      <c r="I589"/>
      <c r="J589"/>
      <c r="L589"/>
      <c r="M589"/>
      <c r="N589"/>
      <c r="O589"/>
      <c r="P589"/>
      <c r="Q589"/>
      <c r="R589"/>
      <c r="S589"/>
    </row>
    <row r="590" spans="7:19" x14ac:dyDescent="0.25">
      <c r="G590"/>
      <c r="H590"/>
      <c r="I590"/>
      <c r="J590"/>
      <c r="L590"/>
      <c r="M590"/>
      <c r="N590"/>
      <c r="O590"/>
      <c r="P590"/>
      <c r="Q590"/>
      <c r="R590"/>
      <c r="S590"/>
    </row>
    <row r="591" spans="7:19" x14ac:dyDescent="0.25">
      <c r="G591"/>
      <c r="H591"/>
      <c r="I591"/>
      <c r="J591"/>
      <c r="L591"/>
      <c r="M591"/>
      <c r="N591"/>
      <c r="O591"/>
      <c r="P591"/>
      <c r="Q591"/>
      <c r="R591"/>
      <c r="S591"/>
    </row>
    <row r="592" spans="7:19" x14ac:dyDescent="0.25">
      <c r="G592"/>
      <c r="H592"/>
      <c r="I592"/>
      <c r="J592"/>
      <c r="L592"/>
      <c r="M592"/>
      <c r="N592"/>
      <c r="O592"/>
      <c r="P592"/>
      <c r="Q592"/>
      <c r="R592"/>
      <c r="S592"/>
    </row>
    <row r="593" spans="7:19" x14ac:dyDescent="0.25">
      <c r="G593"/>
      <c r="H593"/>
      <c r="I593"/>
      <c r="J593"/>
      <c r="L593"/>
      <c r="M593"/>
      <c r="N593"/>
      <c r="O593"/>
      <c r="P593"/>
      <c r="Q593"/>
      <c r="R593"/>
      <c r="S593"/>
    </row>
    <row r="594" spans="7:19" x14ac:dyDescent="0.25">
      <c r="G594"/>
      <c r="H594"/>
      <c r="I594"/>
      <c r="J594"/>
      <c r="L594"/>
      <c r="M594"/>
      <c r="N594"/>
      <c r="O594"/>
      <c r="P594"/>
      <c r="Q594"/>
      <c r="R594"/>
      <c r="S594"/>
    </row>
    <row r="595" spans="7:19" x14ac:dyDescent="0.25">
      <c r="G595"/>
      <c r="H595"/>
      <c r="I595"/>
      <c r="J595"/>
      <c r="L595"/>
      <c r="M595"/>
      <c r="N595"/>
      <c r="O595"/>
      <c r="P595"/>
      <c r="Q595"/>
      <c r="R595"/>
      <c r="S595"/>
    </row>
    <row r="596" spans="7:19" x14ac:dyDescent="0.25">
      <c r="G596"/>
      <c r="H596"/>
      <c r="I596"/>
      <c r="J596"/>
      <c r="L596"/>
      <c r="M596"/>
      <c r="N596"/>
      <c r="O596"/>
      <c r="P596"/>
      <c r="Q596"/>
      <c r="R596"/>
      <c r="S596"/>
    </row>
    <row r="597" spans="7:19" x14ac:dyDescent="0.25">
      <c r="G597"/>
      <c r="H597"/>
      <c r="I597"/>
      <c r="J597"/>
      <c r="L597"/>
      <c r="M597"/>
      <c r="N597"/>
      <c r="O597"/>
      <c r="P597"/>
      <c r="Q597"/>
      <c r="R597"/>
      <c r="S597"/>
    </row>
    <row r="598" spans="7:19" x14ac:dyDescent="0.25">
      <c r="G598"/>
      <c r="H598"/>
      <c r="I598"/>
      <c r="J598"/>
      <c r="L598"/>
      <c r="M598"/>
      <c r="N598"/>
      <c r="O598"/>
      <c r="P598"/>
      <c r="Q598"/>
      <c r="R598"/>
      <c r="S598"/>
    </row>
    <row r="599" spans="7:19" x14ac:dyDescent="0.25">
      <c r="G599"/>
      <c r="H599"/>
      <c r="I599"/>
      <c r="J599"/>
      <c r="L599"/>
      <c r="M599"/>
      <c r="N599"/>
      <c r="O599"/>
      <c r="P599"/>
      <c r="Q599"/>
      <c r="R599"/>
      <c r="S599"/>
    </row>
    <row r="600" spans="7:19" x14ac:dyDescent="0.25">
      <c r="G600"/>
      <c r="H600"/>
      <c r="I600"/>
      <c r="J600"/>
      <c r="L600"/>
      <c r="M600"/>
      <c r="N600"/>
      <c r="O600"/>
      <c r="P600"/>
      <c r="Q600"/>
      <c r="R600"/>
      <c r="S600"/>
    </row>
    <row r="601" spans="7:19" x14ac:dyDescent="0.25">
      <c r="G601"/>
      <c r="H601"/>
      <c r="I601"/>
      <c r="J601"/>
      <c r="L601"/>
      <c r="M601"/>
      <c r="N601"/>
      <c r="O601"/>
      <c r="P601"/>
      <c r="Q601"/>
      <c r="R601"/>
      <c r="S601"/>
    </row>
    <row r="602" spans="7:19" x14ac:dyDescent="0.25">
      <c r="G602"/>
      <c r="H602"/>
      <c r="I602"/>
      <c r="J602"/>
      <c r="L602"/>
      <c r="M602"/>
      <c r="N602"/>
      <c r="O602"/>
      <c r="P602"/>
      <c r="Q602"/>
      <c r="R602"/>
      <c r="S602"/>
    </row>
    <row r="603" spans="7:19" x14ac:dyDescent="0.25">
      <c r="G603"/>
      <c r="H603"/>
      <c r="I603"/>
      <c r="J603"/>
      <c r="L603"/>
      <c r="M603"/>
      <c r="N603"/>
      <c r="O603"/>
      <c r="P603"/>
      <c r="Q603"/>
      <c r="R603"/>
      <c r="S603"/>
    </row>
    <row r="604" spans="7:19" x14ac:dyDescent="0.25">
      <c r="G604"/>
      <c r="H604"/>
      <c r="I604"/>
      <c r="J604"/>
      <c r="L604"/>
      <c r="M604"/>
      <c r="N604"/>
      <c r="O604"/>
      <c r="P604"/>
      <c r="Q604"/>
      <c r="R604"/>
      <c r="S604"/>
    </row>
    <row r="605" spans="7:19" x14ac:dyDescent="0.25">
      <c r="G605"/>
      <c r="H605"/>
      <c r="I605"/>
      <c r="J605"/>
      <c r="L605"/>
      <c r="M605"/>
      <c r="N605"/>
      <c r="O605"/>
      <c r="P605"/>
      <c r="Q605"/>
      <c r="R605"/>
      <c r="S605"/>
    </row>
    <row r="606" spans="7:19" x14ac:dyDescent="0.25">
      <c r="G606"/>
      <c r="H606"/>
      <c r="I606"/>
      <c r="J606"/>
      <c r="L606"/>
      <c r="M606"/>
      <c r="N606"/>
      <c r="O606"/>
      <c r="P606"/>
      <c r="Q606"/>
      <c r="R606"/>
      <c r="S606"/>
    </row>
    <row r="607" spans="7:19" x14ac:dyDescent="0.25">
      <c r="G607"/>
      <c r="H607"/>
      <c r="I607"/>
      <c r="J607"/>
      <c r="L607"/>
      <c r="M607"/>
      <c r="N607"/>
      <c r="O607"/>
      <c r="P607"/>
      <c r="Q607"/>
      <c r="R607"/>
      <c r="S607"/>
    </row>
    <row r="608" spans="7:19" x14ac:dyDescent="0.25">
      <c r="G608"/>
      <c r="H608"/>
      <c r="I608"/>
      <c r="J608"/>
      <c r="L608"/>
      <c r="M608"/>
      <c r="N608"/>
      <c r="O608"/>
      <c r="P608"/>
      <c r="Q608"/>
      <c r="R608"/>
      <c r="S608"/>
    </row>
    <row r="609" spans="7:19" x14ac:dyDescent="0.25">
      <c r="G609"/>
      <c r="H609"/>
      <c r="I609"/>
      <c r="J609"/>
      <c r="L609"/>
      <c r="M609"/>
      <c r="N609"/>
      <c r="O609"/>
      <c r="P609"/>
      <c r="Q609"/>
      <c r="R609"/>
      <c r="S609"/>
    </row>
    <row r="610" spans="7:19" x14ac:dyDescent="0.25">
      <c r="G610"/>
      <c r="H610"/>
      <c r="I610"/>
      <c r="J610"/>
      <c r="L610"/>
      <c r="M610"/>
      <c r="N610"/>
      <c r="O610"/>
      <c r="P610"/>
      <c r="Q610"/>
      <c r="R610"/>
      <c r="S610"/>
    </row>
    <row r="611" spans="7:19" x14ac:dyDescent="0.25">
      <c r="G611"/>
      <c r="H611"/>
      <c r="I611"/>
      <c r="J611"/>
      <c r="L611"/>
      <c r="M611"/>
      <c r="N611"/>
      <c r="O611"/>
      <c r="P611"/>
      <c r="Q611"/>
      <c r="R611"/>
      <c r="S611"/>
    </row>
    <row r="612" spans="7:19" x14ac:dyDescent="0.25">
      <c r="G612"/>
      <c r="H612"/>
      <c r="I612"/>
      <c r="J612"/>
      <c r="L612"/>
      <c r="M612"/>
      <c r="N612"/>
      <c r="O612"/>
      <c r="P612"/>
      <c r="Q612"/>
      <c r="R612"/>
      <c r="S612"/>
    </row>
    <row r="613" spans="7:19" x14ac:dyDescent="0.25">
      <c r="G613"/>
      <c r="H613"/>
      <c r="I613"/>
      <c r="J613"/>
      <c r="L613"/>
      <c r="M613"/>
      <c r="N613"/>
      <c r="O613"/>
      <c r="P613"/>
      <c r="Q613"/>
      <c r="R613"/>
      <c r="S613"/>
    </row>
    <row r="614" spans="7:19" x14ac:dyDescent="0.25">
      <c r="G614"/>
      <c r="H614"/>
      <c r="I614"/>
      <c r="J614"/>
      <c r="L614"/>
      <c r="M614"/>
      <c r="N614"/>
      <c r="O614"/>
      <c r="P614"/>
      <c r="Q614"/>
      <c r="R614"/>
      <c r="S614"/>
    </row>
    <row r="615" spans="7:19" x14ac:dyDescent="0.25">
      <c r="G615"/>
      <c r="H615"/>
      <c r="I615"/>
      <c r="J615"/>
      <c r="L615"/>
      <c r="M615"/>
      <c r="N615"/>
      <c r="O615"/>
      <c r="P615"/>
      <c r="Q615"/>
      <c r="R615"/>
      <c r="S615"/>
    </row>
    <row r="616" spans="7:19" x14ac:dyDescent="0.25">
      <c r="G616"/>
      <c r="H616"/>
      <c r="I616"/>
      <c r="J616"/>
      <c r="L616"/>
      <c r="M616"/>
      <c r="N616"/>
      <c r="O616"/>
      <c r="P616"/>
      <c r="Q616"/>
      <c r="R616"/>
      <c r="S616"/>
    </row>
    <row r="617" spans="7:19" x14ac:dyDescent="0.25">
      <c r="G617"/>
      <c r="H617"/>
      <c r="I617"/>
      <c r="J617"/>
      <c r="L617"/>
      <c r="M617"/>
      <c r="N617"/>
      <c r="O617"/>
      <c r="P617"/>
      <c r="Q617"/>
      <c r="R617"/>
      <c r="S617"/>
    </row>
    <row r="618" spans="7:19" x14ac:dyDescent="0.25">
      <c r="G618"/>
      <c r="H618"/>
      <c r="I618"/>
      <c r="J618"/>
      <c r="L618"/>
      <c r="M618"/>
      <c r="N618"/>
      <c r="O618"/>
      <c r="P618"/>
      <c r="Q618"/>
      <c r="R618"/>
      <c r="S618"/>
    </row>
    <row r="619" spans="7:19" x14ac:dyDescent="0.25">
      <c r="G619"/>
      <c r="H619"/>
      <c r="I619"/>
      <c r="J619"/>
      <c r="L619"/>
      <c r="M619"/>
      <c r="N619"/>
      <c r="O619"/>
      <c r="P619"/>
      <c r="Q619"/>
      <c r="R619"/>
      <c r="S619"/>
    </row>
    <row r="620" spans="7:19" x14ac:dyDescent="0.25">
      <c r="G620"/>
      <c r="H620"/>
      <c r="I620"/>
      <c r="J620"/>
      <c r="L620"/>
      <c r="M620"/>
      <c r="N620"/>
      <c r="O620"/>
      <c r="P620"/>
      <c r="Q620"/>
      <c r="R620"/>
      <c r="S620"/>
    </row>
    <row r="621" spans="7:19" x14ac:dyDescent="0.25">
      <c r="G621"/>
      <c r="H621"/>
      <c r="I621"/>
      <c r="J621"/>
      <c r="L621"/>
      <c r="M621"/>
      <c r="N621"/>
      <c r="O621"/>
      <c r="P621"/>
      <c r="Q621"/>
      <c r="R621"/>
      <c r="S621"/>
    </row>
    <row r="622" spans="7:19" x14ac:dyDescent="0.25">
      <c r="G622"/>
      <c r="H622"/>
      <c r="I622"/>
      <c r="J622"/>
      <c r="L622"/>
      <c r="M622"/>
      <c r="N622"/>
      <c r="O622"/>
      <c r="P622"/>
      <c r="Q622"/>
      <c r="R622"/>
      <c r="S622"/>
    </row>
    <row r="623" spans="7:19" x14ac:dyDescent="0.25">
      <c r="G623"/>
      <c r="H623"/>
      <c r="I623"/>
      <c r="J623"/>
      <c r="L623"/>
      <c r="M623"/>
      <c r="N623"/>
      <c r="O623"/>
      <c r="P623"/>
      <c r="Q623"/>
      <c r="R623"/>
      <c r="S623"/>
    </row>
    <row r="624" spans="7:19" x14ac:dyDescent="0.25">
      <c r="G624"/>
      <c r="H624"/>
      <c r="I624"/>
      <c r="J624"/>
      <c r="L624"/>
      <c r="M624"/>
      <c r="N624"/>
      <c r="O624"/>
      <c r="P624"/>
      <c r="Q624"/>
      <c r="R624"/>
      <c r="S624"/>
    </row>
    <row r="625" spans="7:19" x14ac:dyDescent="0.25">
      <c r="G625"/>
      <c r="H625"/>
      <c r="I625"/>
      <c r="J625"/>
      <c r="L625"/>
      <c r="M625"/>
      <c r="N625"/>
      <c r="O625"/>
      <c r="P625"/>
      <c r="Q625"/>
      <c r="R625"/>
      <c r="S625"/>
    </row>
    <row r="626" spans="7:19" x14ac:dyDescent="0.25">
      <c r="G626"/>
      <c r="H626"/>
      <c r="I626"/>
      <c r="J626"/>
      <c r="L626"/>
      <c r="M626"/>
      <c r="N626"/>
      <c r="O626"/>
      <c r="P626"/>
      <c r="Q626"/>
      <c r="R626"/>
      <c r="S626"/>
    </row>
    <row r="627" spans="7:19" x14ac:dyDescent="0.25">
      <c r="G627"/>
      <c r="H627"/>
      <c r="I627"/>
      <c r="J627"/>
      <c r="L627"/>
      <c r="M627"/>
      <c r="N627"/>
      <c r="O627"/>
      <c r="P627"/>
      <c r="Q627"/>
      <c r="R627"/>
      <c r="S627"/>
    </row>
    <row r="628" spans="7:19" x14ac:dyDescent="0.25">
      <c r="G628"/>
      <c r="H628"/>
      <c r="I628"/>
      <c r="J628"/>
      <c r="L628"/>
      <c r="M628"/>
      <c r="N628"/>
      <c r="O628"/>
      <c r="P628"/>
      <c r="Q628"/>
      <c r="R628"/>
      <c r="S628"/>
    </row>
    <row r="629" spans="7:19" x14ac:dyDescent="0.25">
      <c r="G629"/>
      <c r="H629"/>
      <c r="I629"/>
      <c r="J629"/>
      <c r="L629"/>
      <c r="M629"/>
      <c r="N629"/>
      <c r="O629"/>
      <c r="P629"/>
      <c r="Q629"/>
      <c r="R629"/>
      <c r="S629"/>
    </row>
    <row r="630" spans="7:19" x14ac:dyDescent="0.25">
      <c r="G630"/>
      <c r="H630"/>
      <c r="I630"/>
      <c r="J630"/>
      <c r="L630"/>
      <c r="M630"/>
      <c r="N630"/>
      <c r="O630"/>
      <c r="P630"/>
      <c r="Q630"/>
      <c r="R630"/>
      <c r="S630"/>
    </row>
    <row r="631" spans="7:19" x14ac:dyDescent="0.25">
      <c r="G631"/>
      <c r="H631"/>
      <c r="I631"/>
      <c r="J631"/>
      <c r="L631"/>
      <c r="M631"/>
      <c r="N631"/>
      <c r="O631"/>
      <c r="P631"/>
      <c r="Q631"/>
      <c r="R631"/>
      <c r="S631"/>
    </row>
    <row r="632" spans="7:19" x14ac:dyDescent="0.25">
      <c r="G632"/>
      <c r="H632"/>
      <c r="I632"/>
      <c r="J632"/>
      <c r="L632"/>
      <c r="M632"/>
      <c r="N632"/>
      <c r="O632"/>
      <c r="P632"/>
      <c r="Q632"/>
      <c r="R632"/>
      <c r="S632"/>
    </row>
    <row r="633" spans="7:19" x14ac:dyDescent="0.25">
      <c r="G633"/>
      <c r="H633"/>
      <c r="I633"/>
      <c r="J633"/>
      <c r="L633"/>
      <c r="M633"/>
      <c r="N633"/>
      <c r="O633"/>
      <c r="P633"/>
      <c r="Q633"/>
      <c r="R633"/>
      <c r="S633"/>
    </row>
    <row r="634" spans="7:19" x14ac:dyDescent="0.25">
      <c r="G634"/>
      <c r="H634"/>
      <c r="I634"/>
      <c r="J634"/>
      <c r="L634"/>
      <c r="M634"/>
      <c r="N634"/>
      <c r="O634"/>
      <c r="P634"/>
      <c r="Q634"/>
      <c r="R634"/>
      <c r="S634"/>
    </row>
    <row r="635" spans="7:19" x14ac:dyDescent="0.25">
      <c r="G635"/>
      <c r="H635"/>
      <c r="I635"/>
      <c r="J635"/>
      <c r="L635"/>
      <c r="M635"/>
      <c r="N635"/>
      <c r="O635"/>
      <c r="P635"/>
      <c r="Q635"/>
      <c r="R635"/>
      <c r="S635"/>
    </row>
    <row r="636" spans="7:19" x14ac:dyDescent="0.25">
      <c r="G636"/>
      <c r="H636"/>
      <c r="I636"/>
      <c r="J636"/>
      <c r="L636"/>
      <c r="M636"/>
      <c r="N636"/>
      <c r="O636"/>
      <c r="P636"/>
      <c r="Q636"/>
      <c r="R636"/>
      <c r="S636"/>
    </row>
    <row r="637" spans="7:19" x14ac:dyDescent="0.25">
      <c r="G637"/>
      <c r="H637"/>
      <c r="I637"/>
      <c r="J637"/>
      <c r="L637"/>
      <c r="M637"/>
      <c r="N637"/>
      <c r="O637"/>
      <c r="P637"/>
      <c r="Q637"/>
      <c r="R637"/>
      <c r="S637"/>
    </row>
    <row r="638" spans="7:19" x14ac:dyDescent="0.25">
      <c r="G638"/>
      <c r="H638"/>
      <c r="I638"/>
      <c r="J638"/>
      <c r="L638"/>
      <c r="M638"/>
      <c r="N638"/>
      <c r="O638"/>
      <c r="P638"/>
      <c r="Q638"/>
      <c r="R638"/>
      <c r="S638"/>
    </row>
    <row r="639" spans="7:19" x14ac:dyDescent="0.25">
      <c r="G639"/>
      <c r="H639"/>
      <c r="I639"/>
      <c r="J639"/>
      <c r="L639"/>
      <c r="M639"/>
      <c r="N639"/>
      <c r="O639"/>
      <c r="P639"/>
      <c r="Q639"/>
      <c r="R639"/>
      <c r="S639"/>
    </row>
    <row r="640" spans="7:19" x14ac:dyDescent="0.25">
      <c r="G640"/>
      <c r="H640"/>
      <c r="I640"/>
      <c r="J640"/>
      <c r="L640"/>
      <c r="M640"/>
      <c r="N640"/>
      <c r="O640"/>
      <c r="P640"/>
      <c r="Q640"/>
      <c r="R640"/>
      <c r="S640"/>
    </row>
    <row r="641" spans="7:19" x14ac:dyDescent="0.25">
      <c r="G641"/>
      <c r="H641"/>
      <c r="I641"/>
      <c r="J641"/>
      <c r="L641"/>
      <c r="M641"/>
      <c r="N641"/>
      <c r="O641"/>
      <c r="P641"/>
      <c r="Q641"/>
      <c r="R641"/>
      <c r="S641"/>
    </row>
    <row r="642" spans="7:19" x14ac:dyDescent="0.25">
      <c r="G642"/>
      <c r="H642"/>
      <c r="I642"/>
      <c r="J642"/>
      <c r="L642"/>
      <c r="M642"/>
      <c r="N642"/>
      <c r="O642"/>
      <c r="P642"/>
      <c r="Q642"/>
      <c r="R642"/>
      <c r="S642"/>
    </row>
    <row r="643" spans="7:19" x14ac:dyDescent="0.25">
      <c r="G643"/>
      <c r="H643"/>
      <c r="I643"/>
      <c r="J643"/>
      <c r="L643"/>
      <c r="M643"/>
      <c r="N643"/>
      <c r="O643"/>
      <c r="P643"/>
      <c r="Q643"/>
      <c r="R643"/>
      <c r="S643"/>
    </row>
    <row r="644" spans="7:19" x14ac:dyDescent="0.25">
      <c r="G644"/>
      <c r="H644"/>
      <c r="I644"/>
      <c r="J644"/>
      <c r="L644"/>
      <c r="M644"/>
      <c r="N644"/>
      <c r="O644"/>
      <c r="P644"/>
      <c r="Q644"/>
      <c r="R644"/>
      <c r="S644"/>
    </row>
    <row r="645" spans="7:19" x14ac:dyDescent="0.25">
      <c r="G645"/>
      <c r="H645"/>
      <c r="I645"/>
      <c r="J645"/>
      <c r="L645"/>
      <c r="M645"/>
      <c r="N645"/>
      <c r="O645"/>
      <c r="P645"/>
      <c r="Q645"/>
      <c r="R645"/>
      <c r="S645"/>
    </row>
    <row r="646" spans="7:19" x14ac:dyDescent="0.25">
      <c r="G646"/>
      <c r="H646"/>
      <c r="I646"/>
      <c r="J646"/>
      <c r="L646"/>
      <c r="M646"/>
      <c r="N646"/>
      <c r="O646"/>
      <c r="P646"/>
      <c r="Q646"/>
      <c r="R646"/>
      <c r="S646"/>
    </row>
    <row r="647" spans="7:19" x14ac:dyDescent="0.25">
      <c r="G647"/>
      <c r="H647"/>
      <c r="I647"/>
      <c r="J647"/>
      <c r="L647"/>
      <c r="M647"/>
      <c r="N647"/>
      <c r="O647"/>
      <c r="P647"/>
      <c r="Q647"/>
      <c r="R647"/>
      <c r="S647"/>
    </row>
    <row r="648" spans="7:19" x14ac:dyDescent="0.25">
      <c r="G648"/>
      <c r="H648"/>
      <c r="I648"/>
      <c r="J648"/>
      <c r="L648"/>
      <c r="M648"/>
      <c r="N648"/>
      <c r="O648"/>
      <c r="P648"/>
      <c r="Q648"/>
      <c r="R648"/>
      <c r="S648"/>
    </row>
    <row r="649" spans="7:19" x14ac:dyDescent="0.25">
      <c r="G649"/>
      <c r="H649"/>
      <c r="I649"/>
      <c r="J649"/>
      <c r="L649"/>
      <c r="M649"/>
      <c r="N649"/>
      <c r="O649"/>
      <c r="P649"/>
      <c r="Q649"/>
      <c r="R649"/>
      <c r="S649"/>
    </row>
    <row r="650" spans="7:19" x14ac:dyDescent="0.25">
      <c r="G650"/>
      <c r="H650"/>
      <c r="I650"/>
      <c r="J650"/>
      <c r="L650"/>
      <c r="M650"/>
      <c r="N650"/>
      <c r="O650"/>
      <c r="P650"/>
      <c r="Q650"/>
      <c r="R650"/>
      <c r="S650"/>
    </row>
    <row r="651" spans="7:19" x14ac:dyDescent="0.25">
      <c r="G651"/>
      <c r="H651"/>
      <c r="I651"/>
      <c r="J651"/>
      <c r="L651"/>
      <c r="M651"/>
      <c r="N651"/>
      <c r="O651"/>
      <c r="P651"/>
      <c r="Q651"/>
      <c r="R651"/>
      <c r="S651"/>
    </row>
    <row r="652" spans="7:19" x14ac:dyDescent="0.25">
      <c r="G652"/>
      <c r="H652"/>
      <c r="I652"/>
      <c r="J652"/>
      <c r="L652"/>
      <c r="M652"/>
      <c r="N652"/>
      <c r="O652"/>
      <c r="P652"/>
      <c r="Q652"/>
      <c r="R652"/>
      <c r="S652"/>
    </row>
    <row r="653" spans="7:19" x14ac:dyDescent="0.25">
      <c r="G653"/>
      <c r="H653"/>
      <c r="I653"/>
      <c r="J653"/>
      <c r="L653"/>
      <c r="M653"/>
      <c r="N653"/>
      <c r="O653"/>
      <c r="P653"/>
      <c r="Q653"/>
      <c r="R653"/>
      <c r="S653"/>
    </row>
    <row r="654" spans="7:19" x14ac:dyDescent="0.25">
      <c r="G654"/>
      <c r="H654"/>
      <c r="I654"/>
      <c r="J654"/>
      <c r="L654"/>
      <c r="M654"/>
      <c r="N654"/>
      <c r="O654"/>
      <c r="P654"/>
      <c r="Q654"/>
      <c r="R654"/>
      <c r="S654"/>
    </row>
    <row r="655" spans="7:19" x14ac:dyDescent="0.25">
      <c r="G655"/>
      <c r="H655"/>
      <c r="I655"/>
      <c r="J655"/>
      <c r="L655"/>
      <c r="M655"/>
      <c r="N655"/>
      <c r="O655"/>
      <c r="P655"/>
      <c r="Q655"/>
      <c r="R655"/>
      <c r="S655"/>
    </row>
    <row r="656" spans="7:19" x14ac:dyDescent="0.25">
      <c r="G656"/>
      <c r="H656"/>
      <c r="I656"/>
      <c r="J656"/>
      <c r="L656"/>
      <c r="M656"/>
      <c r="N656"/>
      <c r="O656"/>
      <c r="P656"/>
      <c r="Q656"/>
      <c r="R656"/>
      <c r="S656"/>
    </row>
    <row r="657" spans="7:19" x14ac:dyDescent="0.25">
      <c r="G657"/>
      <c r="H657"/>
      <c r="I657"/>
      <c r="J657"/>
      <c r="L657"/>
      <c r="M657"/>
      <c r="N657"/>
      <c r="O657"/>
      <c r="P657"/>
      <c r="Q657"/>
      <c r="R657"/>
      <c r="S657"/>
    </row>
    <row r="658" spans="7:19" x14ac:dyDescent="0.25">
      <c r="G658"/>
      <c r="H658"/>
      <c r="I658"/>
      <c r="J658"/>
      <c r="L658"/>
      <c r="M658"/>
      <c r="N658"/>
      <c r="O658"/>
      <c r="P658"/>
      <c r="Q658"/>
      <c r="R658"/>
      <c r="S658"/>
    </row>
    <row r="659" spans="7:19" x14ac:dyDescent="0.25">
      <c r="G659"/>
      <c r="H659"/>
      <c r="I659"/>
      <c r="J659"/>
      <c r="L659"/>
      <c r="M659"/>
      <c r="N659"/>
      <c r="O659"/>
      <c r="P659"/>
      <c r="Q659"/>
      <c r="R659"/>
      <c r="S659"/>
    </row>
    <row r="660" spans="7:19" x14ac:dyDescent="0.25">
      <c r="G660"/>
      <c r="H660"/>
      <c r="I660"/>
      <c r="J660"/>
      <c r="L660"/>
      <c r="M660"/>
      <c r="N660"/>
      <c r="O660"/>
      <c r="P660"/>
      <c r="Q660"/>
      <c r="R660"/>
      <c r="S660"/>
    </row>
    <row r="661" spans="7:19" x14ac:dyDescent="0.25">
      <c r="G661"/>
      <c r="H661"/>
      <c r="I661"/>
      <c r="J661"/>
      <c r="L661"/>
      <c r="M661"/>
      <c r="N661"/>
      <c r="O661"/>
      <c r="P661"/>
      <c r="Q661"/>
      <c r="R661"/>
      <c r="S661"/>
    </row>
    <row r="662" spans="7:19" x14ac:dyDescent="0.25">
      <c r="G662"/>
      <c r="H662"/>
      <c r="I662"/>
      <c r="J662"/>
      <c r="L662"/>
      <c r="M662"/>
      <c r="N662"/>
      <c r="O662"/>
      <c r="P662"/>
      <c r="Q662"/>
      <c r="R662"/>
      <c r="S662"/>
    </row>
    <row r="663" spans="7:19" x14ac:dyDescent="0.25">
      <c r="G663"/>
      <c r="H663"/>
      <c r="I663"/>
      <c r="J663"/>
      <c r="L663"/>
      <c r="M663"/>
      <c r="N663"/>
      <c r="O663"/>
      <c r="P663"/>
      <c r="Q663"/>
      <c r="R663"/>
      <c r="S663"/>
    </row>
    <row r="664" spans="7:19" x14ac:dyDescent="0.25">
      <c r="G664"/>
      <c r="H664"/>
      <c r="I664"/>
      <c r="J664"/>
      <c r="L664"/>
      <c r="M664"/>
      <c r="N664"/>
      <c r="O664"/>
      <c r="P664"/>
      <c r="Q664"/>
      <c r="R664"/>
      <c r="S664"/>
    </row>
    <row r="665" spans="7:19" x14ac:dyDescent="0.25">
      <c r="G665"/>
      <c r="H665"/>
      <c r="I665"/>
      <c r="J665"/>
      <c r="L665"/>
      <c r="M665"/>
      <c r="N665"/>
      <c r="O665"/>
      <c r="P665"/>
      <c r="Q665"/>
      <c r="R665"/>
      <c r="S665"/>
    </row>
    <row r="666" spans="7:19" x14ac:dyDescent="0.25">
      <c r="G666"/>
      <c r="H666"/>
      <c r="I666"/>
      <c r="J666"/>
      <c r="L666"/>
      <c r="M666"/>
      <c r="N666"/>
      <c r="O666"/>
      <c r="P666"/>
      <c r="Q666"/>
      <c r="R666"/>
      <c r="S666"/>
    </row>
    <row r="667" spans="7:19" x14ac:dyDescent="0.25">
      <c r="G667"/>
      <c r="H667"/>
      <c r="I667"/>
      <c r="J667"/>
      <c r="L667"/>
      <c r="M667"/>
      <c r="N667"/>
      <c r="O667"/>
      <c r="P667"/>
      <c r="Q667"/>
      <c r="R667"/>
      <c r="S667"/>
    </row>
    <row r="668" spans="7:19" x14ac:dyDescent="0.25">
      <c r="G668"/>
      <c r="H668"/>
      <c r="I668"/>
      <c r="J668"/>
      <c r="L668"/>
      <c r="M668"/>
      <c r="N668"/>
      <c r="O668"/>
      <c r="P668"/>
      <c r="Q668"/>
      <c r="R668"/>
      <c r="S668"/>
    </row>
    <row r="669" spans="7:19" x14ac:dyDescent="0.25">
      <c r="G669"/>
      <c r="H669"/>
      <c r="I669"/>
      <c r="J669"/>
      <c r="L669"/>
      <c r="M669"/>
      <c r="N669"/>
      <c r="O669"/>
      <c r="P669"/>
      <c r="Q669"/>
      <c r="R669"/>
      <c r="S669"/>
    </row>
    <row r="670" spans="7:19" x14ac:dyDescent="0.25">
      <c r="G670"/>
      <c r="H670"/>
      <c r="I670"/>
      <c r="J670"/>
      <c r="L670"/>
      <c r="M670"/>
      <c r="N670"/>
      <c r="O670"/>
      <c r="P670"/>
      <c r="Q670"/>
      <c r="R670"/>
      <c r="S670"/>
    </row>
    <row r="671" spans="7:19" x14ac:dyDescent="0.25">
      <c r="G671"/>
      <c r="H671"/>
      <c r="I671"/>
      <c r="J671"/>
      <c r="L671"/>
      <c r="M671"/>
      <c r="N671"/>
      <c r="O671"/>
      <c r="P671"/>
      <c r="Q671"/>
      <c r="R671"/>
      <c r="S671"/>
    </row>
    <row r="672" spans="7:19" x14ac:dyDescent="0.25">
      <c r="G672"/>
      <c r="H672"/>
      <c r="I672"/>
      <c r="J672"/>
      <c r="L672"/>
      <c r="M672"/>
      <c r="N672"/>
      <c r="O672"/>
      <c r="P672"/>
      <c r="Q672"/>
      <c r="R672"/>
      <c r="S672"/>
    </row>
    <row r="673" spans="7:19" x14ac:dyDescent="0.25">
      <c r="G673"/>
      <c r="H673"/>
      <c r="I673"/>
      <c r="J673"/>
      <c r="L673"/>
      <c r="M673"/>
      <c r="N673"/>
      <c r="O673"/>
      <c r="P673"/>
      <c r="Q673"/>
      <c r="R673"/>
      <c r="S673"/>
    </row>
    <row r="674" spans="7:19" x14ac:dyDescent="0.25">
      <c r="G674"/>
      <c r="H674"/>
      <c r="I674"/>
      <c r="J674"/>
      <c r="L674"/>
      <c r="M674"/>
      <c r="N674"/>
      <c r="O674"/>
      <c r="P674"/>
      <c r="Q674"/>
      <c r="R674"/>
      <c r="S674"/>
    </row>
    <row r="675" spans="7:19" x14ac:dyDescent="0.25">
      <c r="G675"/>
      <c r="H675"/>
      <c r="I675"/>
      <c r="J675"/>
      <c r="L675"/>
      <c r="M675"/>
      <c r="N675"/>
      <c r="O675"/>
      <c r="P675"/>
      <c r="Q675"/>
      <c r="R675"/>
      <c r="S675"/>
    </row>
    <row r="676" spans="7:19" x14ac:dyDescent="0.25">
      <c r="G676"/>
      <c r="H676"/>
      <c r="I676"/>
      <c r="J676"/>
      <c r="L676"/>
      <c r="M676"/>
      <c r="N676"/>
      <c r="O676"/>
      <c r="P676"/>
      <c r="Q676"/>
      <c r="R676"/>
      <c r="S676"/>
    </row>
    <row r="677" spans="7:19" x14ac:dyDescent="0.25">
      <c r="G677"/>
      <c r="H677"/>
      <c r="I677"/>
      <c r="J677"/>
      <c r="L677"/>
      <c r="M677"/>
      <c r="N677"/>
      <c r="O677"/>
      <c r="P677"/>
      <c r="Q677"/>
      <c r="R677"/>
      <c r="S677"/>
    </row>
    <row r="678" spans="7:19" x14ac:dyDescent="0.25">
      <c r="G678"/>
      <c r="H678"/>
      <c r="I678"/>
      <c r="J678"/>
      <c r="L678"/>
      <c r="M678"/>
      <c r="N678"/>
      <c r="O678"/>
      <c r="P678"/>
      <c r="Q678"/>
      <c r="R678"/>
      <c r="S678"/>
    </row>
    <row r="679" spans="7:19" x14ac:dyDescent="0.25">
      <c r="G679"/>
      <c r="H679"/>
      <c r="I679"/>
      <c r="J679"/>
      <c r="L679"/>
      <c r="M679"/>
      <c r="N679"/>
      <c r="O679"/>
      <c r="P679"/>
      <c r="Q679"/>
      <c r="R679"/>
      <c r="S679"/>
    </row>
    <row r="680" spans="7:19" x14ac:dyDescent="0.25">
      <c r="G680"/>
      <c r="H680"/>
      <c r="I680"/>
      <c r="J680"/>
      <c r="L680"/>
      <c r="M680"/>
      <c r="N680"/>
      <c r="O680"/>
      <c r="P680"/>
      <c r="Q680"/>
      <c r="R680"/>
      <c r="S680"/>
    </row>
    <row r="681" spans="7:19" x14ac:dyDescent="0.25">
      <c r="G681"/>
      <c r="H681"/>
      <c r="I681"/>
      <c r="J681"/>
      <c r="L681"/>
      <c r="M681"/>
      <c r="N681"/>
      <c r="O681"/>
      <c r="P681"/>
      <c r="Q681"/>
      <c r="R681"/>
      <c r="S681"/>
    </row>
    <row r="682" spans="7:19" x14ac:dyDescent="0.25">
      <c r="G682"/>
      <c r="H682"/>
      <c r="I682"/>
      <c r="J682"/>
      <c r="L682"/>
      <c r="M682"/>
      <c r="N682"/>
      <c r="O682"/>
      <c r="P682"/>
      <c r="Q682"/>
      <c r="R682"/>
      <c r="S682"/>
    </row>
    <row r="683" spans="7:19" x14ac:dyDescent="0.25">
      <c r="G683"/>
      <c r="H683"/>
      <c r="I683"/>
      <c r="J683"/>
      <c r="L683"/>
      <c r="M683"/>
      <c r="N683"/>
      <c r="O683"/>
      <c r="P683"/>
      <c r="Q683"/>
      <c r="R683"/>
      <c r="S683"/>
    </row>
    <row r="684" spans="7:19" x14ac:dyDescent="0.25">
      <c r="G684"/>
      <c r="H684"/>
      <c r="I684"/>
      <c r="J684"/>
      <c r="L684"/>
      <c r="M684"/>
      <c r="N684"/>
      <c r="O684"/>
      <c r="P684"/>
      <c r="Q684"/>
      <c r="R684"/>
      <c r="S684"/>
    </row>
    <row r="685" spans="7:19" x14ac:dyDescent="0.25">
      <c r="G685"/>
      <c r="H685"/>
      <c r="I685"/>
      <c r="J685"/>
      <c r="L685"/>
      <c r="M685"/>
      <c r="N685"/>
      <c r="O685"/>
      <c r="P685"/>
      <c r="Q685"/>
      <c r="R685"/>
      <c r="S685"/>
    </row>
    <row r="686" spans="7:19" x14ac:dyDescent="0.25">
      <c r="G686"/>
      <c r="H686"/>
      <c r="I686"/>
      <c r="J686"/>
      <c r="L686"/>
      <c r="M686"/>
      <c r="N686"/>
      <c r="O686"/>
      <c r="P686"/>
      <c r="Q686"/>
      <c r="R686"/>
      <c r="S686"/>
    </row>
    <row r="687" spans="7:19" x14ac:dyDescent="0.25">
      <c r="G687"/>
      <c r="H687"/>
      <c r="I687"/>
      <c r="J687"/>
      <c r="L687"/>
      <c r="M687"/>
      <c r="N687"/>
      <c r="O687"/>
      <c r="P687"/>
      <c r="Q687"/>
      <c r="R687"/>
      <c r="S687"/>
    </row>
    <row r="688" spans="7:19" x14ac:dyDescent="0.25">
      <c r="G688"/>
      <c r="H688"/>
      <c r="I688"/>
      <c r="J688"/>
      <c r="L688"/>
      <c r="M688"/>
      <c r="N688"/>
      <c r="O688"/>
      <c r="P688"/>
      <c r="Q688"/>
      <c r="R688"/>
      <c r="S688"/>
    </row>
    <row r="689" spans="7:19" x14ac:dyDescent="0.25">
      <c r="G689"/>
      <c r="H689"/>
      <c r="I689"/>
      <c r="J689"/>
      <c r="L689"/>
      <c r="M689"/>
      <c r="N689"/>
      <c r="O689"/>
      <c r="P689"/>
      <c r="Q689"/>
      <c r="R689"/>
      <c r="S689"/>
    </row>
    <row r="690" spans="7:19" x14ac:dyDescent="0.25">
      <c r="G690"/>
      <c r="H690"/>
      <c r="I690"/>
      <c r="J690"/>
      <c r="L690"/>
      <c r="M690"/>
      <c r="N690"/>
      <c r="O690"/>
      <c r="P690"/>
      <c r="Q690"/>
      <c r="R690"/>
      <c r="S690"/>
    </row>
    <row r="691" spans="7:19" x14ac:dyDescent="0.25">
      <c r="G691"/>
      <c r="H691"/>
      <c r="I691"/>
      <c r="J691"/>
      <c r="L691"/>
      <c r="M691"/>
      <c r="N691"/>
      <c r="O691"/>
      <c r="P691"/>
      <c r="Q691"/>
      <c r="R691"/>
      <c r="S691"/>
    </row>
    <row r="692" spans="7:19" x14ac:dyDescent="0.25">
      <c r="G692"/>
      <c r="H692"/>
      <c r="I692"/>
      <c r="J692"/>
      <c r="L692"/>
      <c r="M692"/>
      <c r="N692"/>
      <c r="O692"/>
      <c r="P692"/>
      <c r="Q692"/>
      <c r="R692"/>
      <c r="S692"/>
    </row>
    <row r="693" spans="7:19" x14ac:dyDescent="0.25">
      <c r="G693"/>
      <c r="H693"/>
      <c r="I693"/>
      <c r="J693"/>
      <c r="L693"/>
      <c r="M693"/>
      <c r="N693"/>
      <c r="O693"/>
      <c r="P693"/>
      <c r="Q693"/>
      <c r="R693"/>
      <c r="S693"/>
    </row>
    <row r="694" spans="7:19" x14ac:dyDescent="0.25">
      <c r="G694"/>
      <c r="H694"/>
      <c r="I694"/>
      <c r="J694"/>
      <c r="L694"/>
      <c r="M694"/>
      <c r="N694"/>
      <c r="O694"/>
      <c r="P694"/>
      <c r="Q694"/>
      <c r="R694"/>
      <c r="S694"/>
    </row>
    <row r="695" spans="7:19" x14ac:dyDescent="0.25">
      <c r="G695"/>
      <c r="H695"/>
      <c r="I695"/>
      <c r="J695"/>
      <c r="L695"/>
      <c r="M695"/>
      <c r="N695"/>
      <c r="O695"/>
      <c r="P695"/>
      <c r="Q695"/>
      <c r="R695"/>
      <c r="S695"/>
    </row>
    <row r="696" spans="7:19" x14ac:dyDescent="0.25">
      <c r="G696"/>
      <c r="H696"/>
      <c r="I696"/>
      <c r="J696"/>
      <c r="L696"/>
      <c r="M696"/>
      <c r="N696"/>
      <c r="O696"/>
      <c r="P696"/>
      <c r="Q696"/>
      <c r="R696"/>
      <c r="S696"/>
    </row>
    <row r="697" spans="7:19" x14ac:dyDescent="0.25">
      <c r="G697"/>
      <c r="H697"/>
      <c r="I697"/>
      <c r="J697"/>
      <c r="L697"/>
      <c r="M697"/>
      <c r="N697"/>
      <c r="O697"/>
      <c r="P697"/>
      <c r="Q697"/>
      <c r="R697"/>
      <c r="S697"/>
    </row>
    <row r="698" spans="7:19" x14ac:dyDescent="0.25">
      <c r="G698"/>
      <c r="H698"/>
      <c r="I698"/>
      <c r="J698"/>
      <c r="L698"/>
      <c r="M698"/>
      <c r="N698"/>
      <c r="O698"/>
      <c r="P698"/>
      <c r="Q698"/>
      <c r="R698"/>
      <c r="S698"/>
    </row>
    <row r="699" spans="7:19" x14ac:dyDescent="0.25">
      <c r="G699"/>
      <c r="H699"/>
      <c r="I699"/>
      <c r="J699"/>
      <c r="L699"/>
      <c r="M699"/>
      <c r="N699"/>
      <c r="O699"/>
      <c r="P699"/>
      <c r="Q699"/>
      <c r="R699"/>
      <c r="S699"/>
    </row>
    <row r="700" spans="7:19" x14ac:dyDescent="0.25">
      <c r="G700"/>
      <c r="H700"/>
      <c r="I700"/>
      <c r="J700"/>
      <c r="L700"/>
      <c r="M700"/>
      <c r="N700"/>
      <c r="O700"/>
      <c r="P700"/>
      <c r="Q700"/>
      <c r="R700"/>
      <c r="S700"/>
    </row>
    <row r="701" spans="7:19" x14ac:dyDescent="0.25">
      <c r="G701"/>
      <c r="H701"/>
      <c r="I701"/>
      <c r="J701"/>
      <c r="L701"/>
      <c r="M701"/>
      <c r="N701"/>
      <c r="O701"/>
      <c r="P701"/>
      <c r="Q701"/>
      <c r="R701"/>
      <c r="S701"/>
    </row>
    <row r="702" spans="7:19" x14ac:dyDescent="0.25">
      <c r="G702"/>
      <c r="H702"/>
      <c r="I702"/>
      <c r="J702"/>
      <c r="L702"/>
      <c r="M702"/>
      <c r="N702"/>
      <c r="O702"/>
      <c r="P702"/>
      <c r="Q702"/>
      <c r="R702"/>
      <c r="S702"/>
    </row>
    <row r="703" spans="7:19" x14ac:dyDescent="0.25">
      <c r="G703"/>
      <c r="H703"/>
      <c r="I703"/>
      <c r="J703"/>
      <c r="L703"/>
      <c r="M703"/>
      <c r="N703"/>
      <c r="O703"/>
      <c r="P703"/>
      <c r="Q703"/>
      <c r="R703"/>
      <c r="S703"/>
    </row>
    <row r="704" spans="7:19" x14ac:dyDescent="0.25">
      <c r="G704"/>
      <c r="H704"/>
      <c r="I704"/>
      <c r="J704"/>
      <c r="L704"/>
      <c r="M704"/>
      <c r="N704"/>
      <c r="O704"/>
      <c r="P704"/>
      <c r="Q704"/>
      <c r="R704"/>
      <c r="S704"/>
    </row>
    <row r="705" spans="7:19" x14ac:dyDescent="0.25">
      <c r="G705"/>
      <c r="H705"/>
      <c r="I705"/>
      <c r="J705"/>
      <c r="L705"/>
      <c r="M705"/>
      <c r="N705"/>
      <c r="O705"/>
      <c r="P705"/>
      <c r="Q705"/>
      <c r="R705"/>
      <c r="S705"/>
    </row>
    <row r="706" spans="7:19" x14ac:dyDescent="0.25">
      <c r="G706"/>
      <c r="H706"/>
      <c r="I706"/>
      <c r="J706"/>
      <c r="L706"/>
      <c r="M706"/>
      <c r="N706"/>
      <c r="O706"/>
      <c r="P706"/>
      <c r="Q706"/>
      <c r="R706"/>
      <c r="S706"/>
    </row>
    <row r="707" spans="7:19" x14ac:dyDescent="0.25">
      <c r="G707"/>
      <c r="H707"/>
      <c r="I707"/>
      <c r="J707"/>
      <c r="L707"/>
      <c r="M707"/>
      <c r="N707"/>
      <c r="O707"/>
      <c r="P707"/>
      <c r="Q707"/>
      <c r="R707"/>
      <c r="S707"/>
    </row>
    <row r="708" spans="7:19" x14ac:dyDescent="0.25">
      <c r="G708"/>
      <c r="H708"/>
      <c r="I708"/>
      <c r="J708"/>
      <c r="L708"/>
      <c r="M708"/>
      <c r="N708"/>
      <c r="O708"/>
      <c r="P708"/>
      <c r="Q708"/>
      <c r="R708"/>
      <c r="S708"/>
    </row>
    <row r="709" spans="7:19" x14ac:dyDescent="0.25">
      <c r="G709"/>
      <c r="H709"/>
      <c r="I709"/>
      <c r="J709"/>
      <c r="L709"/>
      <c r="M709"/>
      <c r="N709"/>
      <c r="O709"/>
      <c r="P709"/>
      <c r="Q709"/>
      <c r="R709"/>
      <c r="S709"/>
    </row>
    <row r="710" spans="7:19" x14ac:dyDescent="0.25">
      <c r="G710"/>
      <c r="H710"/>
      <c r="I710"/>
      <c r="J710"/>
      <c r="L710"/>
      <c r="M710"/>
      <c r="N710"/>
      <c r="O710"/>
      <c r="P710"/>
      <c r="Q710"/>
      <c r="R710"/>
      <c r="S710"/>
    </row>
    <row r="711" spans="7:19" x14ac:dyDescent="0.25">
      <c r="G711"/>
      <c r="H711"/>
      <c r="I711"/>
      <c r="J711"/>
      <c r="L711"/>
      <c r="M711"/>
      <c r="N711"/>
      <c r="O711"/>
      <c r="P711"/>
      <c r="Q711"/>
      <c r="R711"/>
      <c r="S711"/>
    </row>
    <row r="712" spans="7:19" x14ac:dyDescent="0.25">
      <c r="G712"/>
      <c r="H712"/>
      <c r="I712"/>
      <c r="J712"/>
      <c r="L712"/>
      <c r="M712"/>
      <c r="N712"/>
      <c r="O712"/>
      <c r="P712"/>
      <c r="Q712"/>
      <c r="R712"/>
      <c r="S712"/>
    </row>
    <row r="713" spans="7:19" x14ac:dyDescent="0.25">
      <c r="G713"/>
      <c r="H713"/>
      <c r="I713"/>
      <c r="J713"/>
      <c r="L713"/>
      <c r="M713"/>
      <c r="N713"/>
      <c r="O713"/>
      <c r="P713"/>
      <c r="Q713"/>
      <c r="R713"/>
      <c r="S713"/>
    </row>
    <row r="714" spans="7:19" x14ac:dyDescent="0.25">
      <c r="G714"/>
      <c r="H714"/>
      <c r="I714"/>
      <c r="J714"/>
      <c r="L714"/>
      <c r="M714"/>
      <c r="N714"/>
      <c r="O714"/>
      <c r="P714"/>
      <c r="Q714"/>
      <c r="R714"/>
      <c r="S714"/>
    </row>
    <row r="715" spans="7:19" x14ac:dyDescent="0.25">
      <c r="G715"/>
      <c r="H715"/>
      <c r="I715"/>
      <c r="J715"/>
      <c r="L715"/>
      <c r="M715"/>
      <c r="N715"/>
      <c r="O715"/>
      <c r="P715"/>
      <c r="Q715"/>
      <c r="R715"/>
      <c r="S715"/>
    </row>
    <row r="716" spans="7:19" x14ac:dyDescent="0.25">
      <c r="G716"/>
      <c r="H716"/>
      <c r="I716"/>
      <c r="J716"/>
      <c r="L716"/>
      <c r="M716"/>
      <c r="N716"/>
      <c r="O716"/>
      <c r="P716"/>
      <c r="Q716"/>
      <c r="R716"/>
      <c r="S716"/>
    </row>
    <row r="717" spans="7:19" x14ac:dyDescent="0.25">
      <c r="G717"/>
      <c r="H717"/>
      <c r="I717"/>
      <c r="J717"/>
      <c r="L717"/>
      <c r="M717"/>
      <c r="N717"/>
      <c r="O717"/>
      <c r="P717"/>
      <c r="Q717"/>
      <c r="R717"/>
      <c r="S717"/>
    </row>
    <row r="718" spans="7:19" x14ac:dyDescent="0.25">
      <c r="G718"/>
      <c r="H718"/>
      <c r="I718"/>
      <c r="J718"/>
      <c r="L718"/>
      <c r="M718"/>
      <c r="N718"/>
      <c r="O718"/>
      <c r="P718"/>
      <c r="Q718"/>
      <c r="R718"/>
      <c r="S718"/>
    </row>
    <row r="719" spans="7:19" x14ac:dyDescent="0.25">
      <c r="G719"/>
      <c r="H719"/>
      <c r="I719"/>
      <c r="J719"/>
      <c r="L719"/>
      <c r="M719"/>
      <c r="N719"/>
      <c r="O719"/>
      <c r="P719"/>
      <c r="Q719"/>
      <c r="R719"/>
      <c r="S719"/>
    </row>
    <row r="720" spans="7:19" x14ac:dyDescent="0.25">
      <c r="G720"/>
      <c r="H720"/>
      <c r="I720"/>
      <c r="J720"/>
      <c r="L720"/>
      <c r="M720"/>
      <c r="N720"/>
      <c r="O720"/>
      <c r="P720"/>
      <c r="Q720"/>
      <c r="R720"/>
      <c r="S720"/>
    </row>
    <row r="721" spans="7:19" x14ac:dyDescent="0.25">
      <c r="G721"/>
      <c r="H721"/>
      <c r="I721"/>
      <c r="J721"/>
      <c r="L721"/>
      <c r="M721"/>
      <c r="N721"/>
      <c r="O721"/>
      <c r="P721"/>
      <c r="Q721"/>
      <c r="R721"/>
      <c r="S721"/>
    </row>
    <row r="722" spans="7:19" x14ac:dyDescent="0.25">
      <c r="G722"/>
      <c r="H722"/>
      <c r="I722"/>
      <c r="J722"/>
      <c r="L722"/>
      <c r="M722"/>
      <c r="N722"/>
      <c r="O722"/>
      <c r="P722"/>
      <c r="Q722"/>
      <c r="R722"/>
      <c r="S722"/>
    </row>
    <row r="723" spans="7:19" x14ac:dyDescent="0.25">
      <c r="G723"/>
      <c r="H723"/>
      <c r="I723"/>
      <c r="J723"/>
      <c r="L723"/>
      <c r="M723"/>
      <c r="N723"/>
      <c r="O723"/>
      <c r="P723"/>
      <c r="Q723"/>
      <c r="R723"/>
      <c r="S723"/>
    </row>
    <row r="724" spans="7:19" x14ac:dyDescent="0.25">
      <c r="G724"/>
      <c r="H724"/>
      <c r="I724"/>
      <c r="J724"/>
      <c r="L724"/>
      <c r="M724"/>
      <c r="N724"/>
      <c r="O724"/>
      <c r="P724"/>
      <c r="Q724"/>
      <c r="R724"/>
      <c r="S724"/>
    </row>
    <row r="725" spans="7:19" x14ac:dyDescent="0.25">
      <c r="G725"/>
      <c r="H725"/>
      <c r="I725"/>
      <c r="J725"/>
      <c r="L725"/>
      <c r="M725"/>
      <c r="N725"/>
      <c r="O725"/>
      <c r="P725"/>
      <c r="Q725"/>
      <c r="R725"/>
      <c r="S725"/>
    </row>
    <row r="726" spans="7:19" x14ac:dyDescent="0.25">
      <c r="G726"/>
      <c r="H726"/>
      <c r="I726"/>
      <c r="J726"/>
      <c r="L726"/>
      <c r="M726"/>
      <c r="N726"/>
      <c r="O726"/>
      <c r="P726"/>
      <c r="Q726"/>
      <c r="R726"/>
      <c r="S726"/>
    </row>
    <row r="727" spans="7:19" x14ac:dyDescent="0.25">
      <c r="G727"/>
      <c r="H727"/>
      <c r="I727"/>
      <c r="J727"/>
      <c r="L727"/>
      <c r="M727"/>
      <c r="N727"/>
      <c r="O727"/>
      <c r="P727"/>
      <c r="Q727"/>
      <c r="R727"/>
      <c r="S727"/>
    </row>
    <row r="728" spans="7:19" x14ac:dyDescent="0.25">
      <c r="G728"/>
      <c r="H728"/>
      <c r="I728"/>
      <c r="J728"/>
      <c r="L728"/>
      <c r="M728"/>
      <c r="N728"/>
      <c r="O728"/>
      <c r="P728"/>
      <c r="Q728"/>
      <c r="R728"/>
      <c r="S728"/>
    </row>
    <row r="729" spans="7:19" x14ac:dyDescent="0.25">
      <c r="G729"/>
      <c r="H729"/>
      <c r="I729"/>
      <c r="J729"/>
      <c r="L729"/>
      <c r="M729"/>
      <c r="N729"/>
      <c r="O729"/>
      <c r="P729"/>
      <c r="Q729"/>
      <c r="R729"/>
      <c r="S729"/>
    </row>
    <row r="730" spans="7:19" x14ac:dyDescent="0.25">
      <c r="G730"/>
      <c r="H730"/>
      <c r="I730"/>
      <c r="J730"/>
      <c r="L730"/>
      <c r="M730"/>
      <c r="N730"/>
      <c r="O730"/>
      <c r="P730"/>
      <c r="Q730"/>
      <c r="R730"/>
      <c r="S730"/>
    </row>
    <row r="731" spans="7:19" x14ac:dyDescent="0.25">
      <c r="G731"/>
      <c r="H731"/>
      <c r="I731"/>
      <c r="J731"/>
      <c r="L731"/>
      <c r="M731"/>
      <c r="N731"/>
      <c r="O731"/>
      <c r="P731"/>
      <c r="Q731"/>
      <c r="R731"/>
      <c r="S731"/>
    </row>
    <row r="732" spans="7:19" x14ac:dyDescent="0.25">
      <c r="G732"/>
      <c r="H732"/>
      <c r="I732"/>
      <c r="J732"/>
      <c r="L732"/>
      <c r="M732"/>
      <c r="N732"/>
      <c r="O732"/>
      <c r="P732"/>
      <c r="Q732"/>
      <c r="R732"/>
      <c r="S732"/>
    </row>
    <row r="733" spans="7:19" x14ac:dyDescent="0.25">
      <c r="G733"/>
      <c r="H733"/>
      <c r="I733"/>
      <c r="J733"/>
      <c r="L733"/>
      <c r="M733"/>
      <c r="N733"/>
      <c r="O733"/>
      <c r="P733"/>
      <c r="Q733"/>
      <c r="R733"/>
      <c r="S733"/>
    </row>
    <row r="734" spans="7:19" x14ac:dyDescent="0.25">
      <c r="G734"/>
      <c r="H734"/>
      <c r="I734"/>
      <c r="J734"/>
      <c r="L734"/>
      <c r="M734"/>
      <c r="N734"/>
      <c r="O734"/>
      <c r="P734"/>
      <c r="Q734"/>
      <c r="R734"/>
      <c r="S734"/>
    </row>
    <row r="735" spans="7:19" x14ac:dyDescent="0.25">
      <c r="G735"/>
      <c r="H735"/>
      <c r="I735"/>
      <c r="J735"/>
      <c r="L735"/>
      <c r="M735"/>
      <c r="N735"/>
      <c r="O735"/>
      <c r="P735"/>
      <c r="Q735"/>
      <c r="R735"/>
      <c r="S735"/>
    </row>
    <row r="736" spans="7:19" x14ac:dyDescent="0.25">
      <c r="G736"/>
      <c r="H736"/>
      <c r="I736"/>
      <c r="J736"/>
      <c r="L736"/>
      <c r="M736"/>
      <c r="N736"/>
      <c r="O736"/>
      <c r="P736"/>
      <c r="Q736"/>
      <c r="R736"/>
      <c r="S736"/>
    </row>
    <row r="737" spans="7:19" x14ac:dyDescent="0.25">
      <c r="G737"/>
      <c r="H737"/>
      <c r="I737"/>
      <c r="J737"/>
      <c r="L737"/>
      <c r="M737"/>
      <c r="N737"/>
      <c r="O737"/>
      <c r="P737"/>
      <c r="Q737"/>
      <c r="R737"/>
      <c r="S737"/>
    </row>
    <row r="738" spans="7:19" x14ac:dyDescent="0.25">
      <c r="G738"/>
      <c r="H738"/>
      <c r="I738"/>
      <c r="J738"/>
      <c r="L738"/>
      <c r="M738"/>
      <c r="N738"/>
      <c r="O738"/>
      <c r="P738"/>
      <c r="Q738"/>
      <c r="R738"/>
      <c r="S738"/>
    </row>
    <row r="739" spans="7:19" x14ac:dyDescent="0.25">
      <c r="G739"/>
      <c r="H739"/>
      <c r="I739"/>
      <c r="J739"/>
      <c r="L739"/>
      <c r="M739"/>
      <c r="N739"/>
      <c r="O739"/>
      <c r="P739"/>
      <c r="Q739"/>
      <c r="R739"/>
      <c r="S739"/>
    </row>
    <row r="740" spans="7:19" x14ac:dyDescent="0.25">
      <c r="G740"/>
      <c r="H740"/>
      <c r="I740"/>
      <c r="J740"/>
      <c r="L740"/>
      <c r="M740"/>
      <c r="N740"/>
      <c r="O740"/>
      <c r="P740"/>
      <c r="Q740"/>
      <c r="R740"/>
      <c r="S740"/>
    </row>
    <row r="741" spans="7:19" x14ac:dyDescent="0.25">
      <c r="G741"/>
      <c r="H741"/>
      <c r="I741"/>
      <c r="J741"/>
      <c r="L741"/>
      <c r="M741"/>
      <c r="N741"/>
      <c r="O741"/>
      <c r="P741"/>
      <c r="Q741"/>
      <c r="R741"/>
      <c r="S741"/>
    </row>
    <row r="742" spans="7:19" x14ac:dyDescent="0.25">
      <c r="G742"/>
      <c r="H742"/>
      <c r="I742"/>
      <c r="J742"/>
      <c r="L742"/>
      <c r="M742"/>
      <c r="N742"/>
      <c r="O742"/>
      <c r="P742"/>
      <c r="Q742"/>
      <c r="R742"/>
      <c r="S742"/>
    </row>
    <row r="743" spans="7:19" x14ac:dyDescent="0.25">
      <c r="G743"/>
      <c r="H743"/>
      <c r="I743"/>
      <c r="J743"/>
      <c r="L743"/>
      <c r="M743"/>
      <c r="N743"/>
      <c r="O743"/>
      <c r="P743"/>
      <c r="Q743"/>
      <c r="R743"/>
      <c r="S743"/>
    </row>
    <row r="744" spans="7:19" x14ac:dyDescent="0.25">
      <c r="G744"/>
      <c r="H744"/>
      <c r="I744"/>
      <c r="J744"/>
      <c r="L744"/>
      <c r="M744"/>
      <c r="N744"/>
      <c r="O744"/>
      <c r="P744"/>
      <c r="Q744"/>
      <c r="R744"/>
      <c r="S744"/>
    </row>
    <row r="745" spans="7:19" x14ac:dyDescent="0.25">
      <c r="G745"/>
      <c r="H745"/>
      <c r="I745"/>
      <c r="J745"/>
      <c r="L745"/>
      <c r="M745"/>
      <c r="N745"/>
      <c r="O745"/>
      <c r="P745"/>
      <c r="Q745"/>
      <c r="R745"/>
      <c r="S745"/>
    </row>
    <row r="746" spans="7:19" x14ac:dyDescent="0.25">
      <c r="G746"/>
      <c r="H746"/>
      <c r="I746"/>
      <c r="J746"/>
      <c r="L746"/>
      <c r="M746"/>
      <c r="N746"/>
      <c r="O746"/>
      <c r="P746"/>
      <c r="Q746"/>
      <c r="R746"/>
      <c r="S746"/>
    </row>
    <row r="747" spans="7:19" x14ac:dyDescent="0.25">
      <c r="G747"/>
      <c r="H747"/>
      <c r="I747"/>
      <c r="J747"/>
      <c r="L747"/>
      <c r="M747"/>
      <c r="N747"/>
      <c r="O747"/>
      <c r="P747"/>
      <c r="Q747"/>
      <c r="R747"/>
      <c r="S747"/>
    </row>
    <row r="748" spans="7:19" x14ac:dyDescent="0.25">
      <c r="G748"/>
      <c r="H748"/>
      <c r="I748"/>
      <c r="J748"/>
      <c r="L748"/>
      <c r="M748"/>
      <c r="N748"/>
      <c r="O748"/>
      <c r="P748"/>
      <c r="Q748"/>
      <c r="R748"/>
      <c r="S748"/>
    </row>
    <row r="749" spans="7:19" x14ac:dyDescent="0.25">
      <c r="G749"/>
      <c r="H749"/>
      <c r="I749"/>
      <c r="J749"/>
      <c r="L749"/>
      <c r="M749"/>
      <c r="N749"/>
      <c r="O749"/>
      <c r="P749"/>
      <c r="Q749"/>
      <c r="R749"/>
      <c r="S749"/>
    </row>
    <row r="750" spans="7:19" x14ac:dyDescent="0.25">
      <c r="G750"/>
      <c r="H750"/>
      <c r="I750"/>
      <c r="J750"/>
      <c r="L750"/>
      <c r="M750"/>
      <c r="N750"/>
      <c r="O750"/>
      <c r="P750"/>
      <c r="Q750"/>
      <c r="R750"/>
      <c r="S750"/>
    </row>
    <row r="751" spans="7:19" x14ac:dyDescent="0.25">
      <c r="G751"/>
      <c r="H751"/>
      <c r="I751"/>
      <c r="J751"/>
      <c r="L751"/>
      <c r="M751"/>
      <c r="N751"/>
      <c r="O751"/>
      <c r="P751"/>
      <c r="Q751"/>
      <c r="R751"/>
      <c r="S751"/>
    </row>
    <row r="752" spans="7:19" x14ac:dyDescent="0.25">
      <c r="G752"/>
      <c r="H752"/>
      <c r="I752"/>
      <c r="J752"/>
      <c r="L752"/>
      <c r="M752"/>
      <c r="N752"/>
      <c r="O752"/>
      <c r="P752"/>
      <c r="Q752"/>
      <c r="R752"/>
      <c r="S752"/>
    </row>
    <row r="753" spans="7:19" x14ac:dyDescent="0.25">
      <c r="G753"/>
      <c r="H753"/>
      <c r="I753"/>
      <c r="J753"/>
      <c r="L753"/>
      <c r="M753"/>
      <c r="N753"/>
      <c r="O753"/>
      <c r="P753"/>
      <c r="Q753"/>
      <c r="R753"/>
      <c r="S753"/>
    </row>
    <row r="754" spans="7:19" x14ac:dyDescent="0.25">
      <c r="G754"/>
      <c r="H754"/>
      <c r="I754"/>
      <c r="J754"/>
      <c r="L754"/>
      <c r="M754"/>
      <c r="N754"/>
      <c r="O754"/>
      <c r="P754"/>
      <c r="Q754"/>
      <c r="R754"/>
      <c r="S754"/>
    </row>
    <row r="755" spans="7:19" x14ac:dyDescent="0.25">
      <c r="G755"/>
      <c r="H755"/>
      <c r="I755"/>
      <c r="J755"/>
      <c r="L755"/>
      <c r="M755"/>
      <c r="N755"/>
      <c r="O755"/>
      <c r="P755"/>
      <c r="Q755"/>
      <c r="R755"/>
      <c r="S755"/>
    </row>
    <row r="756" spans="7:19" x14ac:dyDescent="0.25">
      <c r="G756"/>
      <c r="H756"/>
      <c r="I756"/>
      <c r="J756"/>
      <c r="L756"/>
      <c r="M756"/>
      <c r="N756"/>
      <c r="O756"/>
      <c r="P756"/>
      <c r="Q756"/>
      <c r="R756"/>
      <c r="S756"/>
    </row>
    <row r="757" spans="7:19" x14ac:dyDescent="0.25">
      <c r="G757"/>
      <c r="H757"/>
      <c r="I757"/>
      <c r="J757"/>
      <c r="L757"/>
      <c r="M757"/>
      <c r="N757"/>
      <c r="O757"/>
      <c r="P757"/>
      <c r="Q757"/>
      <c r="R757"/>
      <c r="S757"/>
    </row>
    <row r="758" spans="7:19" x14ac:dyDescent="0.25">
      <c r="G758"/>
      <c r="H758"/>
      <c r="I758"/>
      <c r="J758"/>
      <c r="L758"/>
      <c r="M758"/>
      <c r="N758"/>
      <c r="O758"/>
      <c r="P758"/>
      <c r="Q758"/>
      <c r="R758"/>
      <c r="S758"/>
    </row>
    <row r="759" spans="7:19" x14ac:dyDescent="0.25">
      <c r="G759"/>
      <c r="H759"/>
      <c r="I759"/>
      <c r="J759"/>
      <c r="L759"/>
      <c r="M759"/>
      <c r="N759"/>
      <c r="O759"/>
      <c r="P759"/>
      <c r="Q759"/>
      <c r="R759"/>
      <c r="S759"/>
    </row>
    <row r="760" spans="7:19" x14ac:dyDescent="0.25">
      <c r="G760"/>
      <c r="H760"/>
      <c r="I760"/>
      <c r="J760"/>
      <c r="L760"/>
      <c r="M760"/>
      <c r="N760"/>
      <c r="O760"/>
      <c r="P760"/>
      <c r="Q760"/>
      <c r="R760"/>
      <c r="S760"/>
    </row>
    <row r="761" spans="7:19" x14ac:dyDescent="0.25">
      <c r="G761"/>
      <c r="H761"/>
      <c r="I761"/>
      <c r="J761"/>
      <c r="L761"/>
      <c r="M761"/>
      <c r="N761"/>
      <c r="O761"/>
      <c r="P761"/>
      <c r="Q761"/>
      <c r="R761"/>
      <c r="S761"/>
    </row>
    <row r="762" spans="7:19" x14ac:dyDescent="0.25">
      <c r="G762"/>
      <c r="H762"/>
      <c r="I762"/>
      <c r="J762"/>
      <c r="L762"/>
      <c r="M762"/>
      <c r="N762"/>
      <c r="O762"/>
      <c r="P762"/>
      <c r="Q762"/>
      <c r="R762"/>
      <c r="S762"/>
    </row>
    <row r="763" spans="7:19" x14ac:dyDescent="0.25">
      <c r="G763"/>
      <c r="H763"/>
      <c r="I763"/>
      <c r="J763"/>
      <c r="L763"/>
      <c r="M763"/>
      <c r="N763"/>
      <c r="O763"/>
      <c r="P763"/>
      <c r="Q763"/>
      <c r="R763"/>
      <c r="S763"/>
    </row>
    <row r="764" spans="7:19" x14ac:dyDescent="0.25">
      <c r="G764"/>
      <c r="H764"/>
      <c r="I764"/>
      <c r="J764"/>
      <c r="L764"/>
      <c r="M764"/>
      <c r="N764"/>
      <c r="O764"/>
      <c r="P764"/>
      <c r="Q764"/>
      <c r="R764"/>
      <c r="S764"/>
    </row>
    <row r="765" spans="7:19" x14ac:dyDescent="0.25">
      <c r="G765"/>
      <c r="H765"/>
      <c r="I765"/>
      <c r="J765"/>
      <c r="L765"/>
      <c r="M765"/>
      <c r="N765"/>
      <c r="O765"/>
      <c r="P765"/>
      <c r="Q765"/>
      <c r="R765"/>
      <c r="S765"/>
    </row>
    <row r="766" spans="7:19" x14ac:dyDescent="0.25">
      <c r="G766"/>
      <c r="H766"/>
      <c r="I766"/>
      <c r="J766"/>
      <c r="L766"/>
      <c r="M766"/>
      <c r="N766"/>
      <c r="O766"/>
      <c r="P766"/>
      <c r="Q766"/>
      <c r="R766"/>
      <c r="S766"/>
    </row>
    <row r="767" spans="7:19" x14ac:dyDescent="0.25">
      <c r="G767"/>
      <c r="H767"/>
      <c r="I767"/>
      <c r="J767"/>
      <c r="L767"/>
      <c r="M767"/>
      <c r="N767"/>
      <c r="O767"/>
      <c r="P767"/>
      <c r="Q767"/>
      <c r="R767"/>
      <c r="S767"/>
    </row>
    <row r="768" spans="7:19" x14ac:dyDescent="0.25">
      <c r="G768"/>
      <c r="H768"/>
      <c r="I768"/>
      <c r="J768"/>
      <c r="L768"/>
      <c r="M768"/>
      <c r="N768"/>
      <c r="O768"/>
      <c r="P768"/>
      <c r="Q768"/>
      <c r="R768"/>
      <c r="S768"/>
    </row>
    <row r="769" spans="7:19" x14ac:dyDescent="0.25">
      <c r="G769"/>
      <c r="H769"/>
      <c r="I769"/>
      <c r="J769"/>
      <c r="L769"/>
      <c r="M769"/>
      <c r="N769"/>
      <c r="O769"/>
      <c r="P769"/>
      <c r="Q769"/>
      <c r="R769"/>
      <c r="S769"/>
    </row>
    <row r="770" spans="7:19" x14ac:dyDescent="0.25">
      <c r="G770"/>
      <c r="H770"/>
      <c r="I770"/>
      <c r="J770"/>
      <c r="L770"/>
      <c r="M770"/>
      <c r="N770"/>
      <c r="O770"/>
      <c r="P770"/>
      <c r="Q770"/>
      <c r="R770"/>
      <c r="S770"/>
    </row>
    <row r="771" spans="7:19" x14ac:dyDescent="0.25">
      <c r="G771"/>
      <c r="H771"/>
      <c r="I771"/>
      <c r="J771"/>
      <c r="L771"/>
      <c r="M771"/>
      <c r="N771"/>
      <c r="O771"/>
      <c r="P771"/>
      <c r="Q771"/>
      <c r="R771"/>
      <c r="S771"/>
    </row>
    <row r="772" spans="7:19" x14ac:dyDescent="0.25">
      <c r="G772"/>
      <c r="H772"/>
      <c r="I772"/>
      <c r="J772"/>
      <c r="L772"/>
      <c r="M772"/>
      <c r="N772"/>
      <c r="O772"/>
      <c r="P772"/>
      <c r="Q772"/>
      <c r="R772"/>
      <c r="S772"/>
    </row>
    <row r="773" spans="7:19" x14ac:dyDescent="0.25">
      <c r="G773"/>
      <c r="H773"/>
      <c r="I773"/>
      <c r="J773"/>
      <c r="L773"/>
      <c r="M773"/>
      <c r="N773"/>
      <c r="O773"/>
      <c r="P773"/>
      <c r="Q773"/>
      <c r="R773"/>
      <c r="S773"/>
    </row>
    <row r="774" spans="7:19" x14ac:dyDescent="0.25">
      <c r="G774"/>
      <c r="H774"/>
      <c r="I774"/>
      <c r="J774"/>
      <c r="L774"/>
      <c r="M774"/>
      <c r="N774"/>
      <c r="O774"/>
      <c r="P774"/>
      <c r="Q774"/>
      <c r="R774"/>
      <c r="S774"/>
    </row>
    <row r="775" spans="7:19" x14ac:dyDescent="0.25">
      <c r="G775"/>
      <c r="H775"/>
      <c r="I775"/>
      <c r="J775"/>
      <c r="L775"/>
      <c r="M775"/>
      <c r="N775"/>
      <c r="O775"/>
      <c r="P775"/>
      <c r="Q775"/>
      <c r="R775"/>
      <c r="S775"/>
    </row>
    <row r="776" spans="7:19" x14ac:dyDescent="0.25">
      <c r="G776"/>
      <c r="H776"/>
      <c r="I776"/>
      <c r="J776"/>
      <c r="L776"/>
      <c r="M776"/>
      <c r="N776"/>
      <c r="O776"/>
      <c r="P776"/>
      <c r="Q776"/>
      <c r="R776"/>
      <c r="S776"/>
    </row>
    <row r="777" spans="7:19" x14ac:dyDescent="0.25">
      <c r="G777"/>
      <c r="H777"/>
      <c r="I777"/>
      <c r="J777"/>
      <c r="L777"/>
      <c r="M777"/>
      <c r="N777"/>
      <c r="O777"/>
      <c r="P777"/>
      <c r="Q777"/>
      <c r="R777"/>
      <c r="S777"/>
    </row>
    <row r="778" spans="7:19" x14ac:dyDescent="0.25">
      <c r="G778"/>
      <c r="H778"/>
      <c r="I778"/>
      <c r="J778"/>
      <c r="L778"/>
      <c r="M778"/>
      <c r="N778"/>
      <c r="O778"/>
      <c r="P778"/>
      <c r="Q778"/>
      <c r="R778"/>
      <c r="S778"/>
    </row>
    <row r="779" spans="7:19" x14ac:dyDescent="0.25">
      <c r="G779"/>
      <c r="H779"/>
      <c r="I779"/>
      <c r="J779"/>
      <c r="L779"/>
      <c r="M779"/>
      <c r="N779"/>
      <c r="O779"/>
      <c r="P779"/>
      <c r="Q779"/>
      <c r="R779"/>
      <c r="S779"/>
    </row>
    <row r="780" spans="7:19" x14ac:dyDescent="0.25">
      <c r="G780"/>
      <c r="H780"/>
      <c r="I780"/>
      <c r="J780"/>
      <c r="L780"/>
      <c r="M780"/>
      <c r="N780"/>
      <c r="O780"/>
      <c r="P780"/>
      <c r="Q780"/>
      <c r="R780"/>
      <c r="S780"/>
    </row>
    <row r="781" spans="7:19" x14ac:dyDescent="0.25">
      <c r="G781"/>
      <c r="H781"/>
      <c r="I781"/>
      <c r="J781"/>
      <c r="L781"/>
      <c r="M781"/>
      <c r="N781"/>
      <c r="O781"/>
      <c r="P781"/>
      <c r="Q781"/>
      <c r="R781"/>
      <c r="S781"/>
    </row>
    <row r="782" spans="7:19" x14ac:dyDescent="0.25">
      <c r="G782"/>
      <c r="H782"/>
      <c r="I782"/>
      <c r="J782"/>
      <c r="L782"/>
      <c r="M782"/>
      <c r="N782"/>
      <c r="O782"/>
      <c r="P782"/>
      <c r="Q782"/>
      <c r="R782"/>
      <c r="S782"/>
    </row>
    <row r="783" spans="7:19" x14ac:dyDescent="0.25">
      <c r="G783"/>
      <c r="H783"/>
      <c r="I783"/>
      <c r="J783"/>
      <c r="L783"/>
      <c r="M783"/>
      <c r="N783"/>
      <c r="O783"/>
      <c r="P783"/>
      <c r="Q783"/>
      <c r="R783"/>
      <c r="S783"/>
    </row>
    <row r="784" spans="7:19" x14ac:dyDescent="0.25">
      <c r="G784"/>
      <c r="H784"/>
      <c r="I784"/>
      <c r="J784"/>
      <c r="L784"/>
      <c r="M784"/>
      <c r="N784"/>
      <c r="O784"/>
      <c r="P784"/>
      <c r="Q784"/>
      <c r="R784"/>
      <c r="S784"/>
    </row>
    <row r="785" spans="7:19" x14ac:dyDescent="0.25">
      <c r="G785"/>
      <c r="H785"/>
      <c r="I785"/>
      <c r="J785"/>
      <c r="L785"/>
      <c r="M785"/>
      <c r="N785"/>
      <c r="O785"/>
      <c r="P785"/>
      <c r="Q785"/>
      <c r="R785"/>
      <c r="S785"/>
    </row>
    <row r="786" spans="7:19" x14ac:dyDescent="0.25">
      <c r="G786"/>
      <c r="H786"/>
      <c r="I786"/>
      <c r="J786"/>
      <c r="L786"/>
      <c r="M786"/>
      <c r="N786"/>
      <c r="O786"/>
      <c r="P786"/>
      <c r="Q786"/>
      <c r="R786"/>
      <c r="S786"/>
    </row>
    <row r="787" spans="7:19" x14ac:dyDescent="0.25">
      <c r="G787"/>
      <c r="H787"/>
      <c r="I787"/>
      <c r="J787"/>
      <c r="L787"/>
      <c r="M787"/>
      <c r="N787"/>
      <c r="O787"/>
      <c r="P787"/>
      <c r="Q787"/>
      <c r="R787"/>
      <c r="S787"/>
    </row>
    <row r="788" spans="7:19" x14ac:dyDescent="0.25">
      <c r="G788"/>
      <c r="H788"/>
      <c r="I788"/>
      <c r="J788"/>
      <c r="L788"/>
      <c r="M788"/>
      <c r="N788"/>
      <c r="O788"/>
      <c r="P788"/>
      <c r="Q788"/>
      <c r="R788"/>
      <c r="S788"/>
    </row>
    <row r="789" spans="7:19" x14ac:dyDescent="0.25">
      <c r="G789"/>
      <c r="H789"/>
      <c r="I789"/>
      <c r="J789"/>
      <c r="L789"/>
      <c r="M789"/>
      <c r="N789"/>
      <c r="O789"/>
      <c r="P789"/>
      <c r="Q789"/>
      <c r="R789"/>
      <c r="S789"/>
    </row>
    <row r="790" spans="7:19" x14ac:dyDescent="0.25">
      <c r="G790"/>
      <c r="H790"/>
      <c r="I790"/>
      <c r="J790"/>
      <c r="L790"/>
      <c r="M790"/>
      <c r="N790"/>
      <c r="O790"/>
      <c r="P790"/>
      <c r="Q790"/>
      <c r="R790"/>
      <c r="S790"/>
    </row>
    <row r="791" spans="7:19" x14ac:dyDescent="0.25">
      <c r="G791"/>
      <c r="H791"/>
      <c r="I791"/>
      <c r="J791"/>
      <c r="L791"/>
      <c r="M791"/>
      <c r="N791"/>
      <c r="O791"/>
      <c r="P791"/>
      <c r="Q791"/>
      <c r="R791"/>
      <c r="S791"/>
    </row>
    <row r="792" spans="7:19" x14ac:dyDescent="0.25">
      <c r="G792"/>
      <c r="H792"/>
      <c r="I792"/>
      <c r="J792"/>
      <c r="L792"/>
      <c r="M792"/>
      <c r="N792"/>
      <c r="O792"/>
      <c r="P792"/>
      <c r="Q792"/>
      <c r="R792"/>
      <c r="S792"/>
    </row>
    <row r="793" spans="7:19" x14ac:dyDescent="0.25">
      <c r="G793"/>
      <c r="H793"/>
      <c r="I793"/>
      <c r="J793"/>
      <c r="L793"/>
      <c r="M793"/>
      <c r="N793"/>
      <c r="O793"/>
      <c r="P793"/>
      <c r="Q793"/>
      <c r="R793"/>
      <c r="S793"/>
    </row>
    <row r="794" spans="7:19" x14ac:dyDescent="0.25">
      <c r="G794"/>
      <c r="H794"/>
      <c r="I794"/>
      <c r="J794"/>
      <c r="L794"/>
      <c r="M794"/>
      <c r="N794"/>
      <c r="O794"/>
      <c r="P794"/>
      <c r="Q794"/>
      <c r="R794"/>
      <c r="S794"/>
    </row>
    <row r="795" spans="7:19" x14ac:dyDescent="0.25">
      <c r="G795"/>
      <c r="H795"/>
      <c r="I795"/>
      <c r="J795"/>
      <c r="L795"/>
      <c r="M795"/>
      <c r="N795"/>
      <c r="O795"/>
      <c r="P795"/>
      <c r="Q795"/>
      <c r="R795"/>
      <c r="S795"/>
    </row>
    <row r="796" spans="7:19" x14ac:dyDescent="0.25">
      <c r="G796"/>
      <c r="H796"/>
      <c r="I796"/>
      <c r="J796"/>
      <c r="L796"/>
      <c r="M796"/>
      <c r="N796"/>
      <c r="O796"/>
      <c r="P796"/>
      <c r="Q796"/>
      <c r="R796"/>
      <c r="S796"/>
    </row>
    <row r="797" spans="7:19" x14ac:dyDescent="0.25">
      <c r="G797"/>
      <c r="H797"/>
      <c r="I797"/>
      <c r="J797"/>
      <c r="L797"/>
      <c r="M797"/>
      <c r="N797"/>
      <c r="O797"/>
      <c r="P797"/>
      <c r="Q797"/>
      <c r="R797"/>
      <c r="S797"/>
    </row>
    <row r="798" spans="7:19" x14ac:dyDescent="0.25">
      <c r="G798"/>
      <c r="H798"/>
      <c r="I798"/>
      <c r="J798"/>
      <c r="L798"/>
      <c r="M798"/>
      <c r="N798"/>
      <c r="O798"/>
      <c r="P798"/>
      <c r="Q798"/>
      <c r="R798"/>
      <c r="S798"/>
    </row>
    <row r="799" spans="7:19" x14ac:dyDescent="0.25">
      <c r="G799"/>
      <c r="H799"/>
      <c r="I799"/>
      <c r="J799"/>
      <c r="L799"/>
      <c r="M799"/>
      <c r="N799"/>
      <c r="O799"/>
      <c r="P799"/>
      <c r="Q799"/>
      <c r="R799"/>
      <c r="S799"/>
    </row>
    <row r="800" spans="7:19" x14ac:dyDescent="0.25">
      <c r="G800"/>
      <c r="H800"/>
      <c r="I800"/>
      <c r="J800"/>
      <c r="L800"/>
      <c r="M800"/>
      <c r="N800"/>
      <c r="O800"/>
      <c r="P800"/>
      <c r="Q800"/>
      <c r="R800"/>
      <c r="S800"/>
    </row>
    <row r="801" spans="7:19" x14ac:dyDescent="0.25">
      <c r="G801"/>
      <c r="H801"/>
      <c r="I801"/>
      <c r="J801"/>
      <c r="L801"/>
      <c r="M801"/>
      <c r="N801"/>
      <c r="O801"/>
      <c r="P801"/>
      <c r="Q801"/>
      <c r="R801"/>
      <c r="S801"/>
    </row>
    <row r="802" spans="7:19" x14ac:dyDescent="0.25">
      <c r="G802"/>
      <c r="H802"/>
      <c r="I802"/>
      <c r="J802"/>
      <c r="L802"/>
      <c r="M802"/>
      <c r="N802"/>
      <c r="O802"/>
      <c r="P802"/>
      <c r="Q802"/>
      <c r="R802"/>
      <c r="S802"/>
    </row>
    <row r="803" spans="7:19" x14ac:dyDescent="0.25">
      <c r="G803"/>
      <c r="H803"/>
      <c r="I803"/>
      <c r="J803"/>
      <c r="L803"/>
      <c r="M803"/>
      <c r="N803"/>
      <c r="O803"/>
      <c r="P803"/>
      <c r="Q803"/>
      <c r="R803"/>
      <c r="S803"/>
    </row>
    <row r="804" spans="7:19" x14ac:dyDescent="0.25">
      <c r="G804"/>
      <c r="H804"/>
      <c r="I804"/>
      <c r="J804"/>
      <c r="L804"/>
      <c r="M804"/>
      <c r="N804"/>
      <c r="O804"/>
      <c r="P804"/>
      <c r="Q804"/>
      <c r="R804"/>
      <c r="S804"/>
    </row>
    <row r="805" spans="7:19" x14ac:dyDescent="0.25">
      <c r="G805"/>
      <c r="H805"/>
      <c r="I805"/>
      <c r="J805"/>
      <c r="L805"/>
      <c r="M805"/>
      <c r="N805"/>
      <c r="O805"/>
      <c r="P805"/>
      <c r="Q805"/>
      <c r="R805"/>
      <c r="S805"/>
    </row>
    <row r="806" spans="7:19" x14ac:dyDescent="0.25">
      <c r="G806"/>
      <c r="H806"/>
      <c r="I806"/>
      <c r="J806"/>
      <c r="L806"/>
      <c r="M806"/>
      <c r="N806"/>
      <c r="O806"/>
      <c r="P806"/>
      <c r="Q806"/>
      <c r="R806"/>
      <c r="S806"/>
    </row>
    <row r="807" spans="7:19" x14ac:dyDescent="0.25">
      <c r="G807"/>
      <c r="H807"/>
      <c r="I807"/>
      <c r="J807"/>
      <c r="L807"/>
      <c r="M807"/>
      <c r="N807"/>
      <c r="O807"/>
      <c r="P807"/>
      <c r="Q807"/>
      <c r="R807"/>
      <c r="S807"/>
    </row>
    <row r="808" spans="7:19" x14ac:dyDescent="0.25">
      <c r="G808"/>
      <c r="H808"/>
      <c r="I808"/>
      <c r="J808"/>
      <c r="L808"/>
      <c r="M808"/>
      <c r="N808"/>
      <c r="O808"/>
      <c r="P808"/>
      <c r="Q808"/>
      <c r="R808"/>
      <c r="S808"/>
    </row>
    <row r="809" spans="7:19" x14ac:dyDescent="0.25">
      <c r="G809"/>
      <c r="H809"/>
      <c r="I809"/>
      <c r="J809"/>
      <c r="L809"/>
      <c r="M809"/>
      <c r="N809"/>
      <c r="O809"/>
      <c r="P809"/>
      <c r="Q809"/>
      <c r="R809"/>
      <c r="S809"/>
    </row>
    <row r="810" spans="7:19" x14ac:dyDescent="0.25">
      <c r="G810"/>
      <c r="H810"/>
      <c r="I810"/>
      <c r="J810"/>
      <c r="L810"/>
      <c r="M810"/>
      <c r="N810"/>
      <c r="O810"/>
      <c r="P810"/>
      <c r="Q810"/>
      <c r="R810"/>
      <c r="S810"/>
    </row>
    <row r="811" spans="7:19" x14ac:dyDescent="0.25">
      <c r="G811"/>
      <c r="H811"/>
      <c r="I811"/>
      <c r="J811"/>
      <c r="L811"/>
      <c r="M811"/>
      <c r="N811"/>
      <c r="O811"/>
      <c r="P811"/>
      <c r="Q811"/>
      <c r="R811"/>
      <c r="S811"/>
    </row>
    <row r="812" spans="7:19" x14ac:dyDescent="0.25">
      <c r="G812"/>
      <c r="H812"/>
      <c r="I812"/>
      <c r="J812"/>
      <c r="L812"/>
      <c r="M812"/>
      <c r="N812"/>
      <c r="O812"/>
      <c r="P812"/>
      <c r="Q812"/>
      <c r="R812"/>
      <c r="S812"/>
    </row>
    <row r="813" spans="7:19" x14ac:dyDescent="0.25">
      <c r="G813"/>
      <c r="H813"/>
      <c r="I813"/>
      <c r="J813"/>
      <c r="L813"/>
      <c r="M813"/>
      <c r="N813"/>
      <c r="O813"/>
      <c r="P813"/>
      <c r="Q813"/>
      <c r="R813"/>
      <c r="S813"/>
    </row>
    <row r="814" spans="7:19" x14ac:dyDescent="0.25">
      <c r="G814"/>
      <c r="H814"/>
      <c r="I814"/>
      <c r="J814"/>
      <c r="L814"/>
      <c r="M814"/>
      <c r="N814"/>
      <c r="O814"/>
      <c r="P814"/>
      <c r="Q814"/>
      <c r="R814"/>
      <c r="S814"/>
    </row>
    <row r="815" spans="7:19" x14ac:dyDescent="0.25">
      <c r="G815"/>
      <c r="H815"/>
      <c r="I815"/>
      <c r="J815"/>
      <c r="L815"/>
      <c r="M815"/>
      <c r="N815"/>
      <c r="O815"/>
      <c r="P815"/>
      <c r="Q815"/>
      <c r="R815"/>
      <c r="S815"/>
    </row>
    <row r="816" spans="7:19" x14ac:dyDescent="0.25">
      <c r="G816"/>
      <c r="H816"/>
      <c r="I816"/>
      <c r="J816"/>
      <c r="L816"/>
      <c r="M816"/>
      <c r="N816"/>
      <c r="O816"/>
      <c r="P816"/>
      <c r="Q816"/>
      <c r="R816"/>
      <c r="S816"/>
    </row>
    <row r="817" spans="7:19" x14ac:dyDescent="0.25">
      <c r="G817"/>
      <c r="H817"/>
      <c r="I817"/>
      <c r="J817"/>
      <c r="L817"/>
      <c r="M817"/>
      <c r="N817"/>
      <c r="O817"/>
      <c r="P817"/>
      <c r="Q817"/>
      <c r="R817"/>
      <c r="S817"/>
    </row>
    <row r="818" spans="7:19" x14ac:dyDescent="0.25">
      <c r="G818"/>
      <c r="H818"/>
      <c r="I818"/>
      <c r="J818"/>
      <c r="L818"/>
      <c r="M818"/>
      <c r="N818"/>
      <c r="O818"/>
      <c r="P818"/>
      <c r="Q818"/>
      <c r="R818"/>
      <c r="S818"/>
    </row>
    <row r="819" spans="7:19" x14ac:dyDescent="0.25">
      <c r="G819"/>
      <c r="H819"/>
      <c r="I819"/>
      <c r="J819"/>
      <c r="L819"/>
      <c r="M819"/>
      <c r="N819"/>
      <c r="O819"/>
      <c r="P819"/>
      <c r="Q819"/>
      <c r="R819"/>
      <c r="S819"/>
    </row>
    <row r="820" spans="7:19" x14ac:dyDescent="0.25">
      <c r="G820"/>
      <c r="H820"/>
      <c r="I820"/>
      <c r="J820"/>
      <c r="L820"/>
      <c r="M820"/>
      <c r="N820"/>
      <c r="O820"/>
      <c r="P820"/>
      <c r="Q820"/>
      <c r="R820"/>
      <c r="S820"/>
    </row>
    <row r="821" spans="7:19" x14ac:dyDescent="0.25">
      <c r="G821"/>
      <c r="H821"/>
      <c r="I821"/>
      <c r="J821"/>
      <c r="L821"/>
      <c r="M821"/>
      <c r="N821"/>
      <c r="O821"/>
      <c r="P821"/>
      <c r="Q821"/>
      <c r="R821"/>
      <c r="S821"/>
    </row>
    <row r="822" spans="7:19" x14ac:dyDescent="0.25">
      <c r="G822"/>
      <c r="H822"/>
      <c r="I822"/>
      <c r="J822"/>
      <c r="L822"/>
      <c r="M822"/>
      <c r="N822"/>
      <c r="O822"/>
      <c r="P822"/>
      <c r="Q822"/>
      <c r="R822"/>
      <c r="S822"/>
    </row>
    <row r="823" spans="7:19" x14ac:dyDescent="0.25">
      <c r="G823"/>
      <c r="H823"/>
      <c r="I823"/>
      <c r="J823"/>
      <c r="L823"/>
      <c r="M823"/>
      <c r="N823"/>
      <c r="O823"/>
      <c r="P823"/>
      <c r="Q823"/>
      <c r="R823"/>
      <c r="S823"/>
    </row>
    <row r="824" spans="7:19" x14ac:dyDescent="0.25">
      <c r="G824"/>
      <c r="H824"/>
      <c r="I824"/>
      <c r="J824"/>
      <c r="L824"/>
      <c r="M824"/>
      <c r="N824"/>
      <c r="O824"/>
      <c r="P824"/>
      <c r="Q824"/>
      <c r="R824"/>
      <c r="S824"/>
    </row>
    <row r="825" spans="7:19" x14ac:dyDescent="0.25">
      <c r="G825"/>
      <c r="H825"/>
      <c r="I825"/>
      <c r="J825"/>
      <c r="L825"/>
      <c r="M825"/>
      <c r="N825"/>
      <c r="O825"/>
      <c r="P825"/>
      <c r="Q825"/>
      <c r="R825"/>
      <c r="S825"/>
    </row>
    <row r="826" spans="7:19" x14ac:dyDescent="0.25">
      <c r="G826"/>
      <c r="H826"/>
      <c r="I826"/>
      <c r="J826"/>
      <c r="L826"/>
      <c r="M826"/>
      <c r="N826"/>
      <c r="O826"/>
      <c r="P826"/>
      <c r="Q826"/>
      <c r="R826"/>
      <c r="S826"/>
    </row>
    <row r="827" spans="7:19" x14ac:dyDescent="0.25">
      <c r="G827"/>
      <c r="H827"/>
      <c r="I827"/>
      <c r="J827"/>
      <c r="L827"/>
      <c r="M827"/>
      <c r="N827"/>
      <c r="O827"/>
      <c r="P827"/>
      <c r="Q827"/>
      <c r="R827"/>
      <c r="S827"/>
    </row>
    <row r="828" spans="7:19" x14ac:dyDescent="0.25">
      <c r="G828"/>
      <c r="H828"/>
      <c r="I828"/>
      <c r="J828"/>
      <c r="L828"/>
      <c r="M828"/>
      <c r="N828"/>
      <c r="O828"/>
      <c r="P828"/>
      <c r="Q828"/>
      <c r="R828"/>
      <c r="S828"/>
    </row>
    <row r="829" spans="7:19" x14ac:dyDescent="0.25">
      <c r="G829"/>
      <c r="H829"/>
      <c r="I829"/>
      <c r="J829"/>
      <c r="L829"/>
      <c r="M829"/>
      <c r="N829"/>
      <c r="O829"/>
      <c r="P829"/>
      <c r="Q829"/>
      <c r="R829"/>
      <c r="S829"/>
    </row>
    <row r="830" spans="7:19" x14ac:dyDescent="0.25">
      <c r="G830"/>
      <c r="H830"/>
      <c r="I830"/>
      <c r="J830"/>
      <c r="L830"/>
      <c r="M830"/>
      <c r="N830"/>
      <c r="O830"/>
      <c r="P830"/>
      <c r="Q830"/>
      <c r="R830"/>
      <c r="S830"/>
    </row>
    <row r="831" spans="7:19" x14ac:dyDescent="0.25">
      <c r="G831"/>
      <c r="H831"/>
      <c r="I831"/>
      <c r="J831"/>
      <c r="L831"/>
      <c r="M831"/>
      <c r="N831"/>
      <c r="O831"/>
      <c r="P831"/>
      <c r="Q831"/>
      <c r="R831"/>
      <c r="S831"/>
    </row>
    <row r="832" spans="7:19" x14ac:dyDescent="0.25">
      <c r="G832"/>
      <c r="H832"/>
      <c r="I832"/>
      <c r="J832"/>
      <c r="L832"/>
      <c r="M832"/>
      <c r="N832"/>
      <c r="O832"/>
      <c r="P832"/>
      <c r="Q832"/>
      <c r="R832"/>
      <c r="S832"/>
    </row>
    <row r="833" spans="7:19" x14ac:dyDescent="0.25">
      <c r="G833"/>
      <c r="H833"/>
      <c r="I833"/>
      <c r="J833"/>
      <c r="L833"/>
      <c r="M833"/>
      <c r="N833"/>
      <c r="O833"/>
      <c r="P833"/>
      <c r="Q833"/>
      <c r="R833"/>
      <c r="S833"/>
    </row>
    <row r="834" spans="7:19" x14ac:dyDescent="0.25">
      <c r="G834"/>
      <c r="H834"/>
      <c r="I834"/>
      <c r="J834"/>
      <c r="L834"/>
      <c r="M834"/>
      <c r="N834"/>
      <c r="O834"/>
      <c r="P834"/>
      <c r="Q834"/>
      <c r="R834"/>
      <c r="S834"/>
    </row>
    <row r="835" spans="7:19" x14ac:dyDescent="0.25">
      <c r="G835"/>
      <c r="H835"/>
      <c r="I835"/>
      <c r="J835"/>
      <c r="L835"/>
      <c r="M835"/>
      <c r="N835"/>
      <c r="O835"/>
      <c r="P835"/>
      <c r="Q835"/>
      <c r="R835"/>
      <c r="S835"/>
    </row>
    <row r="836" spans="7:19" x14ac:dyDescent="0.25">
      <c r="G836"/>
      <c r="H836"/>
      <c r="I836"/>
      <c r="J836"/>
      <c r="L836"/>
      <c r="M836"/>
      <c r="N836"/>
      <c r="O836"/>
      <c r="P836"/>
      <c r="Q836"/>
      <c r="R836"/>
      <c r="S836"/>
    </row>
    <row r="837" spans="7:19" x14ac:dyDescent="0.25">
      <c r="G837"/>
      <c r="H837"/>
      <c r="I837"/>
      <c r="J837"/>
      <c r="L837"/>
      <c r="M837"/>
      <c r="N837"/>
      <c r="O837"/>
      <c r="P837"/>
      <c r="Q837"/>
      <c r="R837"/>
      <c r="S837"/>
    </row>
    <row r="838" spans="7:19" x14ac:dyDescent="0.25">
      <c r="G838"/>
      <c r="H838"/>
      <c r="I838"/>
      <c r="J838"/>
      <c r="L838"/>
      <c r="M838"/>
      <c r="N838"/>
      <c r="O838"/>
      <c r="P838"/>
      <c r="Q838"/>
      <c r="R838"/>
      <c r="S838"/>
    </row>
    <row r="839" spans="7:19" x14ac:dyDescent="0.25">
      <c r="G839"/>
      <c r="H839"/>
      <c r="I839"/>
      <c r="J839"/>
      <c r="L839"/>
      <c r="M839"/>
      <c r="N839"/>
      <c r="O839"/>
      <c r="P839"/>
      <c r="Q839"/>
      <c r="R839"/>
      <c r="S839"/>
    </row>
    <row r="840" spans="7:19" x14ac:dyDescent="0.25">
      <c r="G840"/>
      <c r="H840"/>
      <c r="I840"/>
      <c r="J840"/>
      <c r="L840"/>
      <c r="M840"/>
      <c r="N840"/>
      <c r="O840"/>
      <c r="P840"/>
      <c r="Q840"/>
      <c r="R840"/>
      <c r="S840"/>
    </row>
    <row r="841" spans="7:19" x14ac:dyDescent="0.25">
      <c r="G841"/>
      <c r="H841"/>
      <c r="I841"/>
      <c r="J841"/>
      <c r="L841"/>
      <c r="M841"/>
      <c r="N841"/>
      <c r="O841"/>
      <c r="P841"/>
      <c r="Q841"/>
      <c r="R841"/>
      <c r="S841"/>
    </row>
    <row r="842" spans="7:19" x14ac:dyDescent="0.25">
      <c r="G842"/>
      <c r="H842"/>
      <c r="I842"/>
      <c r="J842"/>
      <c r="L842"/>
      <c r="M842"/>
      <c r="N842"/>
      <c r="O842"/>
      <c r="P842"/>
      <c r="Q842"/>
      <c r="R842"/>
      <c r="S842"/>
    </row>
    <row r="843" spans="7:19" x14ac:dyDescent="0.25">
      <c r="G843"/>
      <c r="H843"/>
      <c r="I843"/>
      <c r="J843"/>
      <c r="L843"/>
      <c r="M843"/>
      <c r="N843"/>
      <c r="O843"/>
      <c r="P843"/>
      <c r="Q843"/>
      <c r="R843"/>
      <c r="S843"/>
    </row>
    <row r="844" spans="7:19" x14ac:dyDescent="0.25">
      <c r="G844"/>
      <c r="H844"/>
      <c r="I844"/>
      <c r="J844"/>
      <c r="L844"/>
      <c r="M844"/>
      <c r="N844"/>
      <c r="O844"/>
      <c r="P844"/>
      <c r="Q844"/>
      <c r="R844"/>
      <c r="S844"/>
    </row>
    <row r="845" spans="7:19" x14ac:dyDescent="0.25">
      <c r="G845"/>
      <c r="H845"/>
      <c r="I845"/>
      <c r="J845"/>
      <c r="L845"/>
      <c r="M845"/>
      <c r="N845"/>
      <c r="O845"/>
      <c r="P845"/>
      <c r="Q845"/>
      <c r="R845"/>
      <c r="S845"/>
    </row>
    <row r="846" spans="7:19" x14ac:dyDescent="0.25">
      <c r="G846"/>
      <c r="H846"/>
      <c r="I846"/>
      <c r="J846"/>
      <c r="L846"/>
      <c r="M846"/>
      <c r="N846"/>
      <c r="O846"/>
      <c r="P846"/>
      <c r="Q846"/>
      <c r="R846"/>
      <c r="S846"/>
    </row>
    <row r="847" spans="7:19" x14ac:dyDescent="0.25">
      <c r="G847"/>
      <c r="H847"/>
      <c r="I847"/>
      <c r="J847"/>
      <c r="L847"/>
      <c r="M847"/>
      <c r="N847"/>
      <c r="O847"/>
      <c r="P847"/>
      <c r="Q847"/>
      <c r="R847"/>
      <c r="S847"/>
    </row>
    <row r="848" spans="7:19" x14ac:dyDescent="0.25">
      <c r="G848"/>
      <c r="H848"/>
      <c r="I848"/>
      <c r="J848"/>
      <c r="L848"/>
      <c r="M848"/>
      <c r="N848"/>
      <c r="O848"/>
      <c r="P848"/>
      <c r="Q848"/>
      <c r="R848"/>
      <c r="S848"/>
    </row>
    <row r="849" spans="7:19" x14ac:dyDescent="0.25">
      <c r="G849"/>
      <c r="H849"/>
      <c r="I849"/>
      <c r="J849"/>
      <c r="L849"/>
      <c r="M849"/>
      <c r="N849"/>
      <c r="O849"/>
      <c r="P849"/>
      <c r="Q849"/>
      <c r="R849"/>
      <c r="S849"/>
    </row>
    <row r="850" spans="7:19" x14ac:dyDescent="0.25">
      <c r="G850"/>
      <c r="H850"/>
      <c r="I850"/>
      <c r="J850"/>
      <c r="L850"/>
      <c r="M850"/>
      <c r="N850"/>
      <c r="O850"/>
      <c r="P850"/>
      <c r="Q850"/>
      <c r="R850"/>
      <c r="S850"/>
    </row>
    <row r="851" spans="7:19" x14ac:dyDescent="0.25">
      <c r="G851"/>
      <c r="H851"/>
      <c r="I851"/>
      <c r="J851"/>
      <c r="L851"/>
      <c r="M851"/>
      <c r="N851"/>
      <c r="O851"/>
      <c r="P851"/>
      <c r="Q851"/>
      <c r="R851"/>
      <c r="S851"/>
    </row>
    <row r="852" spans="7:19" x14ac:dyDescent="0.25">
      <c r="G852"/>
      <c r="H852"/>
      <c r="I852"/>
      <c r="J852"/>
      <c r="L852"/>
      <c r="M852"/>
      <c r="N852"/>
      <c r="O852"/>
      <c r="P852"/>
      <c r="Q852"/>
      <c r="R852"/>
      <c r="S852"/>
    </row>
    <row r="853" spans="7:19" x14ac:dyDescent="0.25">
      <c r="G853"/>
      <c r="H853"/>
      <c r="I853"/>
      <c r="J853"/>
      <c r="L853"/>
      <c r="M853"/>
      <c r="N853"/>
      <c r="O853"/>
      <c r="P853"/>
      <c r="Q853"/>
      <c r="R853"/>
      <c r="S853"/>
    </row>
    <row r="854" spans="7:19" x14ac:dyDescent="0.25">
      <c r="G854"/>
      <c r="H854"/>
      <c r="I854"/>
      <c r="J854"/>
      <c r="L854"/>
      <c r="M854"/>
      <c r="N854"/>
      <c r="O854"/>
      <c r="P854"/>
      <c r="Q854"/>
      <c r="R854"/>
      <c r="S854"/>
    </row>
    <row r="855" spans="7:19" x14ac:dyDescent="0.25">
      <c r="G855"/>
      <c r="H855"/>
      <c r="I855"/>
      <c r="J855"/>
      <c r="L855"/>
      <c r="M855"/>
      <c r="N855"/>
      <c r="O855"/>
      <c r="P855"/>
      <c r="Q855"/>
      <c r="R855"/>
      <c r="S855"/>
    </row>
    <row r="856" spans="7:19" x14ac:dyDescent="0.25">
      <c r="G856"/>
      <c r="H856"/>
      <c r="I856"/>
      <c r="J856"/>
      <c r="L856"/>
      <c r="M856"/>
      <c r="N856"/>
      <c r="O856"/>
      <c r="P856"/>
      <c r="Q856"/>
      <c r="R856"/>
      <c r="S856"/>
    </row>
    <row r="857" spans="7:19" x14ac:dyDescent="0.25">
      <c r="G857"/>
      <c r="H857"/>
      <c r="I857"/>
      <c r="J857"/>
      <c r="L857"/>
      <c r="M857"/>
      <c r="N857"/>
      <c r="O857"/>
      <c r="P857"/>
      <c r="Q857"/>
      <c r="R857"/>
      <c r="S857"/>
    </row>
    <row r="858" spans="7:19" x14ac:dyDescent="0.25">
      <c r="G858"/>
      <c r="H858"/>
      <c r="I858"/>
      <c r="J858"/>
      <c r="L858"/>
      <c r="M858"/>
      <c r="N858"/>
      <c r="O858"/>
      <c r="P858"/>
      <c r="Q858"/>
      <c r="R858"/>
      <c r="S858"/>
    </row>
    <row r="859" spans="7:19" x14ac:dyDescent="0.25">
      <c r="G859"/>
      <c r="H859"/>
      <c r="I859"/>
      <c r="J859"/>
      <c r="L859"/>
      <c r="M859"/>
      <c r="N859"/>
      <c r="O859"/>
      <c r="P859"/>
      <c r="Q859"/>
      <c r="R859"/>
      <c r="S859"/>
    </row>
    <row r="860" spans="7:19" x14ac:dyDescent="0.25">
      <c r="G860"/>
      <c r="H860"/>
      <c r="I860"/>
      <c r="J860"/>
      <c r="L860"/>
      <c r="M860"/>
      <c r="N860"/>
      <c r="O860"/>
      <c r="P860"/>
      <c r="Q860"/>
      <c r="R860"/>
      <c r="S860"/>
    </row>
    <row r="861" spans="7:19" x14ac:dyDescent="0.25">
      <c r="G861"/>
      <c r="H861"/>
      <c r="I861"/>
      <c r="J861"/>
      <c r="L861"/>
      <c r="M861"/>
      <c r="N861"/>
      <c r="O861"/>
      <c r="P861"/>
      <c r="Q861"/>
      <c r="R861"/>
      <c r="S861"/>
    </row>
    <row r="862" spans="7:19" x14ac:dyDescent="0.25">
      <c r="G862"/>
      <c r="H862"/>
      <c r="I862"/>
      <c r="J862"/>
      <c r="L862"/>
      <c r="M862"/>
      <c r="N862"/>
      <c r="O862"/>
      <c r="P862"/>
      <c r="Q862"/>
      <c r="R862"/>
      <c r="S862"/>
    </row>
    <row r="863" spans="7:19" x14ac:dyDescent="0.25">
      <c r="G863"/>
      <c r="H863"/>
      <c r="I863"/>
      <c r="J863"/>
      <c r="L863"/>
      <c r="M863"/>
      <c r="N863"/>
      <c r="O863"/>
      <c r="P863"/>
      <c r="Q863"/>
      <c r="R863"/>
      <c r="S863"/>
    </row>
    <row r="864" spans="7:19" x14ac:dyDescent="0.25">
      <c r="G864"/>
      <c r="H864"/>
      <c r="I864"/>
      <c r="J864"/>
      <c r="L864"/>
      <c r="M864"/>
      <c r="N864"/>
      <c r="O864"/>
      <c r="P864"/>
      <c r="Q864"/>
      <c r="R864"/>
      <c r="S864"/>
    </row>
    <row r="865" spans="7:19" x14ac:dyDescent="0.25">
      <c r="G865"/>
      <c r="H865"/>
      <c r="I865"/>
      <c r="J865"/>
      <c r="L865"/>
      <c r="M865"/>
      <c r="N865"/>
      <c r="O865"/>
      <c r="P865"/>
      <c r="Q865"/>
      <c r="R865"/>
      <c r="S865"/>
    </row>
    <row r="866" spans="7:19" x14ac:dyDescent="0.25">
      <c r="G866"/>
      <c r="H866"/>
      <c r="I866"/>
      <c r="J866"/>
      <c r="L866"/>
      <c r="M866"/>
      <c r="N866"/>
      <c r="O866"/>
      <c r="P866"/>
      <c r="Q866"/>
      <c r="R866"/>
      <c r="S866"/>
    </row>
    <row r="867" spans="7:19" x14ac:dyDescent="0.25">
      <c r="G867"/>
      <c r="H867"/>
      <c r="I867"/>
      <c r="J867"/>
      <c r="L867"/>
      <c r="M867"/>
      <c r="N867"/>
      <c r="O867"/>
      <c r="P867"/>
      <c r="Q867"/>
      <c r="R867"/>
      <c r="S867"/>
    </row>
    <row r="868" spans="7:19" x14ac:dyDescent="0.25">
      <c r="G868"/>
      <c r="H868"/>
      <c r="I868"/>
      <c r="J868"/>
      <c r="L868"/>
      <c r="M868"/>
      <c r="N868"/>
      <c r="O868"/>
      <c r="P868"/>
      <c r="Q868"/>
      <c r="R868"/>
      <c r="S868"/>
    </row>
    <row r="869" spans="7:19" x14ac:dyDescent="0.25">
      <c r="G869"/>
      <c r="H869"/>
      <c r="I869"/>
      <c r="J869"/>
      <c r="L869"/>
      <c r="M869"/>
      <c r="N869"/>
      <c r="O869"/>
      <c r="P869"/>
      <c r="Q869"/>
      <c r="R869"/>
      <c r="S869"/>
    </row>
    <row r="870" spans="7:19" x14ac:dyDescent="0.25">
      <c r="G870"/>
      <c r="H870"/>
      <c r="I870"/>
      <c r="J870"/>
      <c r="L870"/>
      <c r="M870"/>
      <c r="N870"/>
      <c r="O870"/>
      <c r="P870"/>
      <c r="Q870"/>
      <c r="R870"/>
      <c r="S870"/>
    </row>
    <row r="871" spans="7:19" x14ac:dyDescent="0.25">
      <c r="G871"/>
      <c r="H871"/>
      <c r="I871"/>
      <c r="J871"/>
      <c r="L871"/>
      <c r="M871"/>
      <c r="N871"/>
      <c r="O871"/>
      <c r="P871"/>
      <c r="Q871"/>
      <c r="R871"/>
      <c r="S871"/>
    </row>
    <row r="872" spans="7:19" x14ac:dyDescent="0.25">
      <c r="G872"/>
      <c r="H872"/>
      <c r="I872"/>
      <c r="J872"/>
      <c r="L872"/>
      <c r="M872"/>
      <c r="N872"/>
      <c r="O872"/>
      <c r="P872"/>
      <c r="Q872"/>
      <c r="R872"/>
      <c r="S872"/>
    </row>
    <row r="873" spans="7:19" x14ac:dyDescent="0.25">
      <c r="G873"/>
      <c r="H873"/>
      <c r="I873"/>
      <c r="J873"/>
      <c r="L873"/>
      <c r="M873"/>
      <c r="N873"/>
      <c r="O873"/>
      <c r="P873"/>
      <c r="Q873"/>
      <c r="R873"/>
      <c r="S873"/>
    </row>
    <row r="874" spans="7:19" x14ac:dyDescent="0.25">
      <c r="G874"/>
      <c r="H874"/>
      <c r="I874"/>
      <c r="J874"/>
      <c r="L874"/>
      <c r="M874"/>
      <c r="N874"/>
      <c r="O874"/>
      <c r="P874"/>
      <c r="Q874"/>
      <c r="R874"/>
      <c r="S874"/>
    </row>
    <row r="875" spans="7:19" x14ac:dyDescent="0.25">
      <c r="G875"/>
      <c r="H875"/>
      <c r="I875"/>
      <c r="J875"/>
      <c r="L875"/>
      <c r="M875"/>
      <c r="N875"/>
      <c r="O875"/>
      <c r="P875"/>
      <c r="Q875"/>
      <c r="R875"/>
      <c r="S875"/>
    </row>
    <row r="876" spans="7:19" x14ac:dyDescent="0.25">
      <c r="G876"/>
      <c r="H876"/>
      <c r="I876"/>
      <c r="J876"/>
      <c r="L876"/>
      <c r="M876"/>
      <c r="N876"/>
      <c r="O876"/>
      <c r="P876"/>
      <c r="Q876"/>
      <c r="R876"/>
      <c r="S876"/>
    </row>
    <row r="877" spans="7:19" x14ac:dyDescent="0.25">
      <c r="G877"/>
      <c r="H877"/>
      <c r="I877"/>
      <c r="J877"/>
      <c r="L877"/>
      <c r="M877"/>
      <c r="N877"/>
      <c r="O877"/>
      <c r="P877"/>
      <c r="Q877"/>
      <c r="R877"/>
      <c r="S877"/>
    </row>
    <row r="878" spans="7:19" x14ac:dyDescent="0.25">
      <c r="G878"/>
      <c r="H878"/>
      <c r="I878"/>
      <c r="J878"/>
      <c r="L878"/>
      <c r="M878"/>
      <c r="N878"/>
      <c r="O878"/>
      <c r="P878"/>
      <c r="Q878"/>
      <c r="R878"/>
      <c r="S878"/>
    </row>
    <row r="879" spans="7:19" x14ac:dyDescent="0.25">
      <c r="G879"/>
      <c r="H879"/>
      <c r="I879"/>
      <c r="J879"/>
      <c r="L879"/>
      <c r="M879"/>
      <c r="N879"/>
      <c r="O879"/>
      <c r="P879"/>
      <c r="Q879"/>
      <c r="R879"/>
      <c r="S879"/>
    </row>
    <row r="880" spans="7:19" x14ac:dyDescent="0.25">
      <c r="G880"/>
      <c r="H880"/>
      <c r="I880"/>
      <c r="J880"/>
      <c r="L880"/>
      <c r="M880"/>
      <c r="N880"/>
      <c r="O880"/>
      <c r="P880"/>
      <c r="Q880"/>
      <c r="R880"/>
      <c r="S880"/>
    </row>
    <row r="881" spans="7:19" x14ac:dyDescent="0.25">
      <c r="G881"/>
      <c r="H881"/>
      <c r="I881"/>
      <c r="J881"/>
      <c r="L881"/>
      <c r="M881"/>
      <c r="N881"/>
      <c r="O881"/>
      <c r="P881"/>
      <c r="Q881"/>
      <c r="R881"/>
      <c r="S881"/>
    </row>
    <row r="882" spans="7:19" x14ac:dyDescent="0.25">
      <c r="G882"/>
      <c r="H882"/>
      <c r="I882"/>
      <c r="J882"/>
      <c r="L882"/>
      <c r="M882"/>
      <c r="N882"/>
      <c r="O882"/>
      <c r="P882"/>
      <c r="Q882"/>
      <c r="R882"/>
      <c r="S882"/>
    </row>
    <row r="883" spans="7:19" x14ac:dyDescent="0.25">
      <c r="G883"/>
      <c r="H883"/>
      <c r="I883"/>
      <c r="J883"/>
      <c r="L883"/>
      <c r="M883"/>
      <c r="N883"/>
      <c r="O883"/>
      <c r="P883"/>
      <c r="Q883"/>
      <c r="R883"/>
      <c r="S883"/>
    </row>
    <row r="884" spans="7:19" x14ac:dyDescent="0.25">
      <c r="G884"/>
      <c r="H884"/>
      <c r="I884"/>
      <c r="J884"/>
      <c r="L884"/>
      <c r="M884"/>
      <c r="N884"/>
      <c r="O884"/>
      <c r="P884"/>
      <c r="Q884"/>
      <c r="R884"/>
      <c r="S884"/>
    </row>
    <row r="885" spans="7:19" x14ac:dyDescent="0.25">
      <c r="G885"/>
      <c r="H885"/>
      <c r="I885"/>
      <c r="J885"/>
      <c r="L885"/>
      <c r="M885"/>
      <c r="N885"/>
      <c r="O885"/>
      <c r="P885"/>
      <c r="Q885"/>
      <c r="R885"/>
      <c r="S885"/>
    </row>
    <row r="886" spans="7:19" x14ac:dyDescent="0.25">
      <c r="G886"/>
      <c r="H886"/>
      <c r="I886"/>
      <c r="J886"/>
      <c r="L886"/>
      <c r="M886"/>
      <c r="N886"/>
      <c r="O886"/>
      <c r="P886"/>
      <c r="Q886"/>
      <c r="R886"/>
      <c r="S886"/>
    </row>
    <row r="887" spans="7:19" x14ac:dyDescent="0.25">
      <c r="G887"/>
      <c r="H887"/>
      <c r="I887"/>
      <c r="J887"/>
      <c r="L887"/>
      <c r="M887"/>
      <c r="N887"/>
      <c r="O887"/>
      <c r="P887"/>
      <c r="Q887"/>
      <c r="R887"/>
      <c r="S887"/>
    </row>
    <row r="888" spans="7:19" x14ac:dyDescent="0.25">
      <c r="G888"/>
      <c r="H888"/>
      <c r="I888"/>
      <c r="J888"/>
      <c r="L888"/>
      <c r="M888"/>
      <c r="N888"/>
      <c r="O888"/>
      <c r="P888"/>
      <c r="Q888"/>
      <c r="R888"/>
      <c r="S888"/>
    </row>
    <row r="889" spans="7:19" x14ac:dyDescent="0.25">
      <c r="G889"/>
      <c r="H889"/>
      <c r="I889"/>
      <c r="J889"/>
      <c r="L889"/>
      <c r="M889"/>
      <c r="N889"/>
      <c r="O889"/>
      <c r="P889"/>
      <c r="Q889"/>
      <c r="R889"/>
      <c r="S889"/>
    </row>
    <row r="890" spans="7:19" x14ac:dyDescent="0.25">
      <c r="G890"/>
      <c r="H890"/>
      <c r="I890"/>
      <c r="J890"/>
      <c r="L890"/>
      <c r="M890"/>
      <c r="N890"/>
      <c r="O890"/>
      <c r="P890"/>
      <c r="Q890"/>
      <c r="R890"/>
      <c r="S890"/>
    </row>
    <row r="891" spans="7:19" x14ac:dyDescent="0.25">
      <c r="G891"/>
      <c r="H891"/>
      <c r="I891"/>
      <c r="J891"/>
      <c r="L891"/>
      <c r="M891"/>
      <c r="N891"/>
      <c r="O891"/>
      <c r="P891"/>
      <c r="Q891"/>
      <c r="R891"/>
      <c r="S891"/>
    </row>
    <row r="892" spans="7:19" x14ac:dyDescent="0.25">
      <c r="G892"/>
      <c r="H892"/>
      <c r="I892"/>
      <c r="J892"/>
      <c r="L892"/>
      <c r="M892"/>
      <c r="N892"/>
      <c r="O892"/>
      <c r="P892"/>
      <c r="Q892"/>
      <c r="R892"/>
      <c r="S892"/>
    </row>
    <row r="893" spans="7:19" x14ac:dyDescent="0.25">
      <c r="G893"/>
      <c r="H893"/>
      <c r="I893"/>
      <c r="J893"/>
      <c r="L893"/>
      <c r="M893"/>
      <c r="N893"/>
      <c r="O893"/>
      <c r="P893"/>
      <c r="Q893"/>
      <c r="R893"/>
      <c r="S893"/>
    </row>
    <row r="894" spans="7:19" x14ac:dyDescent="0.25">
      <c r="G894"/>
      <c r="H894"/>
      <c r="I894"/>
      <c r="J894"/>
      <c r="L894"/>
      <c r="M894"/>
      <c r="N894"/>
      <c r="O894"/>
      <c r="P894"/>
      <c r="Q894"/>
      <c r="R894"/>
      <c r="S894"/>
    </row>
    <row r="895" spans="7:19" x14ac:dyDescent="0.25">
      <c r="G895"/>
      <c r="H895"/>
      <c r="I895"/>
      <c r="J895"/>
      <c r="L895"/>
      <c r="M895"/>
      <c r="N895"/>
      <c r="O895"/>
      <c r="P895"/>
      <c r="Q895"/>
      <c r="R895"/>
      <c r="S895"/>
    </row>
    <row r="896" spans="7:19" x14ac:dyDescent="0.25">
      <c r="G896"/>
      <c r="H896"/>
      <c r="I896"/>
      <c r="J896"/>
      <c r="L896"/>
      <c r="M896"/>
      <c r="N896"/>
      <c r="O896"/>
      <c r="P896"/>
      <c r="Q896"/>
      <c r="R896"/>
      <c r="S896"/>
    </row>
    <row r="897" spans="7:19" x14ac:dyDescent="0.25">
      <c r="G897"/>
      <c r="H897"/>
      <c r="I897"/>
      <c r="J897"/>
      <c r="L897"/>
      <c r="M897"/>
      <c r="N897"/>
      <c r="O897"/>
      <c r="P897"/>
      <c r="Q897"/>
      <c r="R897"/>
      <c r="S897"/>
    </row>
    <row r="898" spans="7:19" x14ac:dyDescent="0.25">
      <c r="G898"/>
      <c r="H898"/>
      <c r="I898"/>
      <c r="J898"/>
      <c r="L898"/>
      <c r="M898"/>
      <c r="N898"/>
      <c r="O898"/>
      <c r="P898"/>
      <c r="Q898"/>
      <c r="R898"/>
      <c r="S898"/>
    </row>
    <row r="899" spans="7:19" x14ac:dyDescent="0.25">
      <c r="G899"/>
      <c r="H899"/>
      <c r="I899"/>
      <c r="J899"/>
      <c r="L899"/>
      <c r="M899"/>
      <c r="N899"/>
      <c r="O899"/>
      <c r="P899"/>
      <c r="Q899"/>
      <c r="R899"/>
      <c r="S899"/>
    </row>
    <row r="900" spans="7:19" x14ac:dyDescent="0.25">
      <c r="G900"/>
      <c r="H900"/>
      <c r="I900"/>
      <c r="J900"/>
      <c r="L900"/>
      <c r="M900"/>
      <c r="N900"/>
      <c r="O900"/>
      <c r="P900"/>
      <c r="Q900"/>
      <c r="R900"/>
      <c r="S900"/>
    </row>
    <row r="901" spans="7:19" x14ac:dyDescent="0.25">
      <c r="G901"/>
      <c r="H901"/>
      <c r="I901"/>
      <c r="J901"/>
      <c r="L901"/>
      <c r="M901"/>
      <c r="N901"/>
      <c r="O901"/>
      <c r="P901"/>
      <c r="Q901"/>
      <c r="R901"/>
      <c r="S901"/>
    </row>
    <row r="902" spans="7:19" x14ac:dyDescent="0.25">
      <c r="G902"/>
      <c r="H902"/>
      <c r="I902"/>
      <c r="J902"/>
      <c r="L902"/>
      <c r="M902"/>
      <c r="N902"/>
      <c r="O902"/>
      <c r="P902"/>
      <c r="Q902"/>
      <c r="R902"/>
      <c r="S902"/>
    </row>
    <row r="903" spans="7:19" x14ac:dyDescent="0.25">
      <c r="G903"/>
      <c r="H903"/>
      <c r="I903"/>
      <c r="J903"/>
      <c r="L903"/>
      <c r="M903"/>
      <c r="N903"/>
      <c r="O903"/>
      <c r="P903"/>
      <c r="Q903"/>
      <c r="R903"/>
      <c r="S903"/>
    </row>
    <row r="904" spans="7:19" x14ac:dyDescent="0.25">
      <c r="G904"/>
      <c r="H904"/>
      <c r="I904"/>
      <c r="J904"/>
      <c r="L904"/>
      <c r="M904"/>
      <c r="N904"/>
      <c r="O904"/>
      <c r="P904"/>
      <c r="Q904"/>
      <c r="R904"/>
      <c r="S904"/>
    </row>
    <row r="905" spans="7:19" x14ac:dyDescent="0.25">
      <c r="G905"/>
      <c r="H905"/>
      <c r="I905"/>
      <c r="J905"/>
      <c r="L905"/>
      <c r="M905"/>
      <c r="N905"/>
      <c r="O905"/>
      <c r="P905"/>
      <c r="Q905"/>
      <c r="R905"/>
      <c r="S905"/>
    </row>
    <row r="906" spans="7:19" x14ac:dyDescent="0.25">
      <c r="G906"/>
      <c r="H906"/>
      <c r="I906"/>
      <c r="J906"/>
      <c r="L906"/>
      <c r="M906"/>
      <c r="N906"/>
      <c r="O906"/>
      <c r="P906"/>
      <c r="Q906"/>
      <c r="R906"/>
      <c r="S906"/>
    </row>
    <row r="907" spans="7:19" x14ac:dyDescent="0.25">
      <c r="G907"/>
      <c r="H907"/>
      <c r="I907"/>
      <c r="J907"/>
      <c r="L907"/>
      <c r="M907"/>
      <c r="N907"/>
      <c r="O907"/>
      <c r="P907"/>
      <c r="Q907"/>
      <c r="R907"/>
      <c r="S907"/>
    </row>
    <row r="908" spans="7:19" x14ac:dyDescent="0.25">
      <c r="G908"/>
      <c r="H908"/>
      <c r="I908"/>
      <c r="J908"/>
      <c r="L908"/>
      <c r="M908"/>
      <c r="N908"/>
      <c r="O908"/>
      <c r="P908"/>
      <c r="Q908"/>
      <c r="R908"/>
      <c r="S908"/>
    </row>
    <row r="909" spans="7:19" x14ac:dyDescent="0.25">
      <c r="G909"/>
      <c r="H909"/>
      <c r="I909"/>
      <c r="J909"/>
      <c r="L909"/>
      <c r="M909"/>
      <c r="N909"/>
      <c r="O909"/>
      <c r="P909"/>
      <c r="Q909"/>
      <c r="R909"/>
      <c r="S909"/>
    </row>
    <row r="910" spans="7:19" x14ac:dyDescent="0.25">
      <c r="G910"/>
      <c r="H910"/>
      <c r="I910"/>
      <c r="J910"/>
      <c r="L910"/>
      <c r="M910"/>
      <c r="N910"/>
      <c r="O910"/>
      <c r="P910"/>
      <c r="Q910"/>
      <c r="R910"/>
      <c r="S910"/>
    </row>
    <row r="911" spans="7:19" x14ac:dyDescent="0.25">
      <c r="G911"/>
      <c r="H911"/>
      <c r="I911"/>
      <c r="J911"/>
      <c r="L911"/>
      <c r="M911"/>
      <c r="N911"/>
      <c r="O911"/>
      <c r="P911"/>
      <c r="Q911"/>
      <c r="R911"/>
      <c r="S911"/>
    </row>
    <row r="912" spans="7:19" x14ac:dyDescent="0.25">
      <c r="G912"/>
      <c r="H912"/>
      <c r="I912"/>
      <c r="J912"/>
      <c r="L912"/>
      <c r="M912"/>
      <c r="N912"/>
      <c r="O912"/>
      <c r="P912"/>
      <c r="Q912"/>
      <c r="R912"/>
      <c r="S912"/>
    </row>
    <row r="913" spans="7:19" x14ac:dyDescent="0.25">
      <c r="G913"/>
      <c r="H913"/>
      <c r="I913"/>
      <c r="J913"/>
      <c r="L913"/>
      <c r="M913"/>
      <c r="N913"/>
      <c r="O913"/>
      <c r="P913"/>
      <c r="Q913"/>
      <c r="R913"/>
      <c r="S913"/>
    </row>
    <row r="914" spans="7:19" x14ac:dyDescent="0.25">
      <c r="G914"/>
      <c r="H914"/>
      <c r="I914"/>
      <c r="J914"/>
      <c r="L914"/>
      <c r="M914"/>
      <c r="N914"/>
      <c r="O914"/>
      <c r="P914"/>
      <c r="Q914"/>
      <c r="R914"/>
      <c r="S914"/>
    </row>
    <row r="915" spans="7:19" x14ac:dyDescent="0.25">
      <c r="G915"/>
      <c r="H915"/>
      <c r="I915"/>
      <c r="J915"/>
      <c r="L915"/>
      <c r="M915"/>
      <c r="N915"/>
      <c r="O915"/>
      <c r="P915"/>
      <c r="Q915"/>
      <c r="R915"/>
      <c r="S915"/>
    </row>
    <row r="916" spans="7:19" x14ac:dyDescent="0.25">
      <c r="G916"/>
      <c r="H916"/>
      <c r="I916"/>
      <c r="J916"/>
      <c r="L916"/>
      <c r="M916"/>
      <c r="N916"/>
      <c r="O916"/>
      <c r="P916"/>
      <c r="Q916"/>
      <c r="R916"/>
      <c r="S916"/>
    </row>
    <row r="917" spans="7:19" x14ac:dyDescent="0.25">
      <c r="G917"/>
      <c r="H917"/>
      <c r="I917"/>
      <c r="J917"/>
      <c r="L917"/>
      <c r="M917"/>
      <c r="N917"/>
      <c r="O917"/>
      <c r="P917"/>
      <c r="Q917"/>
      <c r="R917"/>
      <c r="S917"/>
    </row>
    <row r="918" spans="7:19" x14ac:dyDescent="0.25">
      <c r="G918"/>
      <c r="H918"/>
      <c r="I918"/>
      <c r="J918"/>
      <c r="L918"/>
      <c r="M918"/>
      <c r="N918"/>
      <c r="O918"/>
      <c r="P918"/>
      <c r="Q918"/>
      <c r="R918"/>
      <c r="S918"/>
    </row>
    <row r="919" spans="7:19" x14ac:dyDescent="0.25">
      <c r="G919"/>
      <c r="H919"/>
      <c r="I919"/>
      <c r="J919"/>
      <c r="L919"/>
      <c r="M919"/>
      <c r="N919"/>
      <c r="O919"/>
      <c r="P919"/>
      <c r="Q919"/>
      <c r="R919"/>
      <c r="S919"/>
    </row>
    <row r="920" spans="7:19" x14ac:dyDescent="0.25">
      <c r="G920"/>
      <c r="H920"/>
      <c r="I920"/>
      <c r="J920"/>
      <c r="L920"/>
      <c r="M920"/>
      <c r="N920"/>
      <c r="O920"/>
      <c r="P920"/>
      <c r="Q920"/>
      <c r="R920"/>
      <c r="S920"/>
    </row>
    <row r="921" spans="7:19" x14ac:dyDescent="0.25">
      <c r="G921"/>
      <c r="H921"/>
      <c r="I921"/>
      <c r="J921"/>
      <c r="L921"/>
      <c r="M921"/>
      <c r="N921"/>
      <c r="O921"/>
      <c r="P921"/>
      <c r="Q921"/>
      <c r="R921"/>
      <c r="S921"/>
    </row>
    <row r="922" spans="7:19" x14ac:dyDescent="0.25">
      <c r="G922"/>
      <c r="H922"/>
      <c r="I922"/>
      <c r="J922"/>
      <c r="L922"/>
      <c r="M922"/>
      <c r="N922"/>
      <c r="O922"/>
      <c r="P922"/>
      <c r="Q922"/>
      <c r="R922"/>
      <c r="S922"/>
    </row>
    <row r="923" spans="7:19" x14ac:dyDescent="0.25">
      <c r="G923"/>
      <c r="H923"/>
      <c r="I923"/>
      <c r="J923"/>
      <c r="L923"/>
      <c r="M923"/>
      <c r="N923"/>
      <c r="O923"/>
      <c r="P923"/>
      <c r="Q923"/>
      <c r="R923"/>
      <c r="S923"/>
    </row>
    <row r="924" spans="7:19" x14ac:dyDescent="0.25">
      <c r="G924"/>
      <c r="H924"/>
      <c r="I924"/>
      <c r="J924"/>
      <c r="L924"/>
      <c r="M924"/>
      <c r="N924"/>
      <c r="O924"/>
      <c r="P924"/>
      <c r="Q924"/>
      <c r="R924"/>
      <c r="S924"/>
    </row>
    <row r="925" spans="7:19" x14ac:dyDescent="0.25">
      <c r="G925"/>
      <c r="H925"/>
      <c r="I925"/>
      <c r="J925"/>
      <c r="L925"/>
      <c r="M925"/>
      <c r="N925"/>
      <c r="O925"/>
      <c r="P925"/>
      <c r="Q925"/>
      <c r="R925"/>
      <c r="S925"/>
    </row>
    <row r="926" spans="7:19" x14ac:dyDescent="0.25">
      <c r="G926"/>
      <c r="H926"/>
      <c r="I926"/>
      <c r="J926"/>
      <c r="L926"/>
      <c r="M926"/>
      <c r="N926"/>
      <c r="O926"/>
      <c r="P926"/>
      <c r="Q926"/>
      <c r="R926"/>
      <c r="S926"/>
    </row>
    <row r="927" spans="7:19" x14ac:dyDescent="0.25">
      <c r="G927"/>
      <c r="H927"/>
      <c r="I927"/>
      <c r="J927"/>
      <c r="L927"/>
      <c r="M927"/>
      <c r="N927"/>
      <c r="O927"/>
      <c r="P927"/>
      <c r="Q927"/>
      <c r="R927"/>
      <c r="S927"/>
    </row>
    <row r="928" spans="7:19" x14ac:dyDescent="0.25">
      <c r="G928"/>
      <c r="H928"/>
      <c r="I928"/>
      <c r="J928"/>
      <c r="L928"/>
      <c r="M928"/>
      <c r="N928"/>
      <c r="O928"/>
      <c r="P928"/>
      <c r="Q928"/>
      <c r="R928"/>
      <c r="S928"/>
    </row>
    <row r="929" spans="7:19" x14ac:dyDescent="0.25">
      <c r="G929"/>
      <c r="H929"/>
      <c r="I929"/>
      <c r="J929"/>
      <c r="L929"/>
      <c r="M929"/>
      <c r="N929"/>
      <c r="O929"/>
      <c r="P929"/>
      <c r="Q929"/>
      <c r="R929"/>
      <c r="S929"/>
    </row>
    <row r="930" spans="7:19" x14ac:dyDescent="0.25">
      <c r="G930"/>
      <c r="H930"/>
      <c r="I930"/>
      <c r="J930"/>
      <c r="L930"/>
      <c r="M930"/>
      <c r="N930"/>
      <c r="O930"/>
      <c r="P930"/>
      <c r="Q930"/>
      <c r="R930"/>
      <c r="S930"/>
    </row>
    <row r="931" spans="7:19" x14ac:dyDescent="0.25">
      <c r="G931"/>
      <c r="H931"/>
      <c r="I931"/>
      <c r="J931"/>
      <c r="L931"/>
      <c r="M931"/>
      <c r="N931"/>
      <c r="O931"/>
      <c r="P931"/>
      <c r="Q931"/>
      <c r="R931"/>
      <c r="S931"/>
    </row>
    <row r="932" spans="7:19" x14ac:dyDescent="0.25">
      <c r="G932"/>
      <c r="H932"/>
      <c r="I932"/>
      <c r="J932"/>
      <c r="L932"/>
      <c r="M932"/>
      <c r="N932"/>
      <c r="O932"/>
      <c r="P932"/>
      <c r="Q932"/>
      <c r="R932"/>
      <c r="S932"/>
    </row>
    <row r="933" spans="7:19" x14ac:dyDescent="0.25">
      <c r="G933"/>
      <c r="H933"/>
      <c r="I933"/>
      <c r="J933"/>
      <c r="L933"/>
      <c r="M933"/>
      <c r="N933"/>
      <c r="O933"/>
      <c r="P933"/>
      <c r="Q933"/>
      <c r="R933"/>
      <c r="S933"/>
    </row>
    <row r="934" spans="7:19" x14ac:dyDescent="0.25">
      <c r="G934"/>
      <c r="H934"/>
      <c r="I934"/>
      <c r="J934"/>
      <c r="L934"/>
      <c r="M934"/>
      <c r="N934"/>
      <c r="O934"/>
      <c r="P934"/>
      <c r="Q934"/>
      <c r="R934"/>
      <c r="S934"/>
    </row>
    <row r="935" spans="7:19" x14ac:dyDescent="0.25">
      <c r="G935"/>
      <c r="H935"/>
      <c r="I935"/>
      <c r="J935"/>
      <c r="L935"/>
      <c r="M935"/>
      <c r="N935"/>
      <c r="O935"/>
      <c r="P935"/>
      <c r="Q935"/>
      <c r="R935"/>
      <c r="S935"/>
    </row>
    <row r="936" spans="7:19" x14ac:dyDescent="0.25">
      <c r="G936"/>
      <c r="H936"/>
      <c r="I936"/>
      <c r="J936"/>
      <c r="L936"/>
      <c r="M936"/>
      <c r="N936"/>
      <c r="O936"/>
      <c r="P936"/>
      <c r="Q936"/>
      <c r="R936"/>
      <c r="S936"/>
    </row>
    <row r="937" spans="7:19" x14ac:dyDescent="0.25">
      <c r="G937"/>
      <c r="H937"/>
      <c r="I937"/>
      <c r="J937"/>
      <c r="L937"/>
      <c r="M937"/>
      <c r="N937"/>
      <c r="O937"/>
      <c r="P937"/>
      <c r="Q937"/>
      <c r="R937"/>
      <c r="S937"/>
    </row>
    <row r="938" spans="7:19" x14ac:dyDescent="0.25">
      <c r="G938"/>
      <c r="H938"/>
      <c r="I938"/>
      <c r="J938"/>
      <c r="L938"/>
      <c r="M938"/>
      <c r="N938"/>
      <c r="O938"/>
      <c r="P938"/>
      <c r="Q938"/>
      <c r="R938"/>
      <c r="S938"/>
    </row>
    <row r="939" spans="7:19" x14ac:dyDescent="0.25">
      <c r="G939"/>
      <c r="H939"/>
      <c r="I939"/>
      <c r="J939"/>
      <c r="L939"/>
      <c r="M939"/>
      <c r="N939"/>
      <c r="O939"/>
      <c r="P939"/>
      <c r="Q939"/>
      <c r="R939"/>
      <c r="S939"/>
    </row>
    <row r="940" spans="7:19" x14ac:dyDescent="0.25">
      <c r="G940"/>
      <c r="H940"/>
      <c r="I940"/>
      <c r="J940"/>
      <c r="L940"/>
      <c r="M940"/>
      <c r="N940"/>
      <c r="O940"/>
      <c r="P940"/>
      <c r="Q940"/>
      <c r="R940"/>
      <c r="S940"/>
    </row>
    <row r="941" spans="7:19" x14ac:dyDescent="0.25">
      <c r="G941"/>
      <c r="H941"/>
      <c r="I941"/>
      <c r="J941"/>
      <c r="L941"/>
      <c r="M941"/>
      <c r="N941"/>
      <c r="O941"/>
      <c r="P941"/>
      <c r="Q941"/>
      <c r="R941"/>
      <c r="S941"/>
    </row>
    <row r="942" spans="7:19" x14ac:dyDescent="0.25">
      <c r="G942"/>
      <c r="H942"/>
      <c r="I942"/>
      <c r="J942"/>
      <c r="L942"/>
      <c r="M942"/>
      <c r="N942"/>
      <c r="O942"/>
      <c r="P942"/>
      <c r="Q942"/>
      <c r="R942"/>
      <c r="S942"/>
    </row>
    <row r="943" spans="7:19" x14ac:dyDescent="0.25">
      <c r="G943"/>
      <c r="H943"/>
      <c r="I943"/>
      <c r="J943"/>
      <c r="L943"/>
      <c r="M943"/>
      <c r="N943"/>
      <c r="O943"/>
      <c r="P943"/>
      <c r="Q943"/>
      <c r="R943"/>
      <c r="S943"/>
    </row>
    <row r="944" spans="7:19" x14ac:dyDescent="0.25">
      <c r="G944"/>
      <c r="H944"/>
      <c r="I944"/>
      <c r="J944"/>
      <c r="L944"/>
      <c r="M944"/>
      <c r="N944"/>
      <c r="O944"/>
      <c r="P944"/>
      <c r="Q944"/>
      <c r="R944"/>
      <c r="S944"/>
    </row>
    <row r="945" spans="7:19" x14ac:dyDescent="0.25">
      <c r="G945"/>
      <c r="H945"/>
      <c r="I945"/>
      <c r="J945"/>
      <c r="L945"/>
      <c r="M945"/>
      <c r="N945"/>
      <c r="O945"/>
      <c r="P945"/>
      <c r="Q945"/>
      <c r="R945"/>
      <c r="S945"/>
    </row>
    <row r="946" spans="7:19" x14ac:dyDescent="0.25">
      <c r="G946"/>
      <c r="H946"/>
      <c r="I946"/>
      <c r="J946"/>
      <c r="L946"/>
      <c r="M946"/>
      <c r="N946"/>
      <c r="O946"/>
      <c r="P946"/>
      <c r="Q946"/>
      <c r="R946"/>
      <c r="S946"/>
    </row>
    <row r="947" spans="7:19" x14ac:dyDescent="0.25">
      <c r="G947"/>
      <c r="H947"/>
      <c r="I947"/>
      <c r="J947"/>
      <c r="L947"/>
      <c r="M947"/>
      <c r="N947"/>
      <c r="O947"/>
      <c r="P947"/>
      <c r="Q947"/>
      <c r="R947"/>
      <c r="S947"/>
    </row>
    <row r="948" spans="7:19" x14ac:dyDescent="0.25">
      <c r="G948"/>
      <c r="H948"/>
      <c r="I948"/>
      <c r="J948"/>
      <c r="L948"/>
      <c r="M948"/>
      <c r="N948"/>
      <c r="O948"/>
      <c r="P948"/>
      <c r="Q948"/>
      <c r="R948"/>
      <c r="S948"/>
    </row>
    <row r="949" spans="7:19" x14ac:dyDescent="0.25">
      <c r="G949"/>
      <c r="H949"/>
      <c r="I949"/>
      <c r="J949"/>
      <c r="L949"/>
      <c r="M949"/>
      <c r="N949"/>
      <c r="O949"/>
      <c r="P949"/>
      <c r="Q949"/>
      <c r="R949"/>
      <c r="S949"/>
    </row>
    <row r="950" spans="7:19" x14ac:dyDescent="0.25">
      <c r="G950"/>
      <c r="H950"/>
      <c r="I950"/>
      <c r="J950"/>
      <c r="L950"/>
      <c r="M950"/>
      <c r="N950"/>
      <c r="O950"/>
      <c r="P950"/>
      <c r="Q950"/>
      <c r="R950"/>
      <c r="S950"/>
    </row>
    <row r="951" spans="7:19" x14ac:dyDescent="0.25">
      <c r="G951"/>
      <c r="H951"/>
      <c r="I951"/>
      <c r="J951"/>
      <c r="L951"/>
      <c r="M951"/>
      <c r="N951"/>
      <c r="O951"/>
      <c r="P951"/>
      <c r="Q951"/>
      <c r="R951"/>
      <c r="S951"/>
    </row>
    <row r="952" spans="7:19" x14ac:dyDescent="0.25">
      <c r="G952"/>
      <c r="H952"/>
      <c r="I952"/>
      <c r="J952"/>
      <c r="L952"/>
      <c r="M952"/>
      <c r="N952"/>
      <c r="O952"/>
      <c r="P952"/>
      <c r="Q952"/>
      <c r="R952"/>
      <c r="S952"/>
    </row>
    <row r="953" spans="7:19" x14ac:dyDescent="0.25">
      <c r="G953"/>
      <c r="H953"/>
      <c r="I953"/>
      <c r="J953"/>
      <c r="L953"/>
      <c r="M953"/>
      <c r="N953"/>
      <c r="O953"/>
      <c r="P953"/>
      <c r="Q953"/>
      <c r="R953"/>
      <c r="S953"/>
    </row>
    <row r="954" spans="7:19" x14ac:dyDescent="0.25">
      <c r="G954"/>
      <c r="H954"/>
      <c r="I954"/>
      <c r="J954"/>
      <c r="L954"/>
      <c r="M954"/>
      <c r="N954"/>
      <c r="O954"/>
      <c r="P954"/>
      <c r="Q954"/>
      <c r="R954"/>
      <c r="S954"/>
    </row>
    <row r="955" spans="7:19" x14ac:dyDescent="0.25">
      <c r="G955"/>
      <c r="H955"/>
      <c r="I955"/>
      <c r="J955"/>
      <c r="L955"/>
      <c r="M955"/>
      <c r="N955"/>
      <c r="O955"/>
      <c r="P955"/>
      <c r="Q955"/>
      <c r="R955"/>
      <c r="S955"/>
    </row>
    <row r="956" spans="7:19" x14ac:dyDescent="0.25">
      <c r="G956"/>
      <c r="H956"/>
      <c r="I956"/>
      <c r="J956"/>
      <c r="L956"/>
      <c r="M956"/>
      <c r="N956"/>
      <c r="O956"/>
      <c r="P956"/>
      <c r="Q956"/>
      <c r="R956"/>
      <c r="S956"/>
    </row>
    <row r="957" spans="7:19" x14ac:dyDescent="0.25">
      <c r="G957"/>
      <c r="H957"/>
      <c r="I957"/>
      <c r="J957"/>
      <c r="L957"/>
      <c r="M957"/>
      <c r="N957"/>
      <c r="O957"/>
      <c r="P957"/>
      <c r="Q957"/>
      <c r="R957"/>
      <c r="S957"/>
    </row>
    <row r="958" spans="7:19" x14ac:dyDescent="0.25">
      <c r="G958"/>
      <c r="H958"/>
      <c r="I958"/>
      <c r="J958"/>
      <c r="L958"/>
      <c r="M958"/>
      <c r="N958"/>
      <c r="O958"/>
      <c r="P958"/>
      <c r="Q958"/>
      <c r="R958"/>
      <c r="S958"/>
    </row>
    <row r="959" spans="7:19" x14ac:dyDescent="0.25">
      <c r="G959"/>
      <c r="H959"/>
      <c r="I959"/>
      <c r="J959"/>
      <c r="L959"/>
      <c r="M959"/>
      <c r="N959"/>
      <c r="O959"/>
      <c r="P959"/>
      <c r="Q959"/>
      <c r="R959"/>
      <c r="S959"/>
    </row>
    <row r="960" spans="7:19" x14ac:dyDescent="0.25">
      <c r="G960"/>
      <c r="H960"/>
      <c r="I960"/>
      <c r="J960"/>
      <c r="L960"/>
      <c r="M960"/>
      <c r="N960"/>
      <c r="O960"/>
      <c r="P960"/>
      <c r="Q960"/>
      <c r="R960"/>
      <c r="S960"/>
    </row>
    <row r="961" spans="7:19" x14ac:dyDescent="0.25">
      <c r="G961"/>
      <c r="H961"/>
      <c r="I961"/>
      <c r="J961"/>
      <c r="L961"/>
      <c r="M961"/>
      <c r="N961"/>
      <c r="O961"/>
      <c r="P961"/>
      <c r="Q961"/>
      <c r="R961"/>
      <c r="S961"/>
    </row>
    <row r="962" spans="7:19" x14ac:dyDescent="0.25">
      <c r="G962"/>
      <c r="H962"/>
      <c r="I962"/>
      <c r="J962"/>
      <c r="L962"/>
      <c r="M962"/>
      <c r="N962"/>
      <c r="O962"/>
      <c r="P962"/>
      <c r="Q962"/>
      <c r="R962"/>
      <c r="S962"/>
    </row>
    <row r="963" spans="7:19" x14ac:dyDescent="0.25">
      <c r="G963"/>
      <c r="H963"/>
      <c r="I963"/>
      <c r="J963"/>
      <c r="L963"/>
      <c r="M963"/>
      <c r="N963"/>
      <c r="O963"/>
      <c r="P963"/>
      <c r="Q963"/>
      <c r="R963"/>
      <c r="S963"/>
    </row>
    <row r="964" spans="7:19" x14ac:dyDescent="0.25">
      <c r="G964"/>
      <c r="H964"/>
      <c r="I964"/>
      <c r="J964"/>
      <c r="L964"/>
      <c r="M964"/>
      <c r="N964"/>
      <c r="O964"/>
      <c r="P964"/>
      <c r="Q964"/>
      <c r="R964"/>
      <c r="S964"/>
    </row>
    <row r="965" spans="7:19" x14ac:dyDescent="0.25">
      <c r="G965"/>
      <c r="H965"/>
      <c r="I965"/>
      <c r="J965"/>
      <c r="L965"/>
      <c r="M965"/>
      <c r="N965"/>
      <c r="O965"/>
      <c r="P965"/>
      <c r="Q965"/>
      <c r="R965"/>
      <c r="S965"/>
    </row>
    <row r="966" spans="7:19" x14ac:dyDescent="0.25">
      <c r="G966"/>
      <c r="H966"/>
      <c r="I966"/>
      <c r="J966"/>
      <c r="L966"/>
      <c r="M966"/>
      <c r="N966"/>
      <c r="O966"/>
      <c r="P966"/>
      <c r="Q966"/>
      <c r="R966"/>
      <c r="S966"/>
    </row>
    <row r="967" spans="7:19" x14ac:dyDescent="0.25">
      <c r="G967"/>
      <c r="H967"/>
      <c r="I967"/>
      <c r="J967"/>
      <c r="L967"/>
      <c r="M967"/>
      <c r="N967"/>
      <c r="O967"/>
      <c r="P967"/>
      <c r="Q967"/>
      <c r="R967"/>
      <c r="S967"/>
    </row>
    <row r="968" spans="7:19" x14ac:dyDescent="0.25">
      <c r="G968"/>
      <c r="H968"/>
      <c r="I968"/>
      <c r="J968"/>
      <c r="L968"/>
      <c r="M968"/>
      <c r="N968"/>
      <c r="O968"/>
      <c r="P968"/>
      <c r="Q968"/>
      <c r="R968"/>
      <c r="S968"/>
    </row>
    <row r="969" spans="7:19" x14ac:dyDescent="0.25">
      <c r="G969"/>
      <c r="H969"/>
      <c r="I969"/>
      <c r="J969"/>
      <c r="L969"/>
      <c r="M969"/>
      <c r="N969"/>
      <c r="O969"/>
      <c r="P969"/>
      <c r="Q969"/>
      <c r="R969"/>
      <c r="S969"/>
    </row>
    <row r="970" spans="7:19" x14ac:dyDescent="0.25">
      <c r="G970"/>
      <c r="H970"/>
      <c r="I970"/>
      <c r="J970"/>
      <c r="L970"/>
      <c r="M970"/>
      <c r="N970"/>
      <c r="O970"/>
      <c r="P970"/>
      <c r="Q970"/>
      <c r="R970"/>
      <c r="S970"/>
    </row>
    <row r="971" spans="7:19" x14ac:dyDescent="0.25">
      <c r="G971"/>
      <c r="H971"/>
      <c r="I971"/>
      <c r="J971"/>
      <c r="L971"/>
      <c r="M971"/>
      <c r="N971"/>
      <c r="O971"/>
      <c r="P971"/>
      <c r="Q971"/>
      <c r="R971"/>
      <c r="S971"/>
    </row>
    <row r="972" spans="7:19" x14ac:dyDescent="0.25">
      <c r="G972"/>
      <c r="H972"/>
      <c r="I972"/>
      <c r="J972"/>
      <c r="L972"/>
      <c r="M972"/>
      <c r="N972"/>
      <c r="O972"/>
      <c r="P972"/>
      <c r="Q972"/>
      <c r="R972"/>
      <c r="S972"/>
    </row>
    <row r="973" spans="7:19" x14ac:dyDescent="0.25">
      <c r="G973"/>
      <c r="H973"/>
      <c r="I973"/>
      <c r="J973"/>
      <c r="L973"/>
      <c r="M973"/>
      <c r="N973"/>
      <c r="O973"/>
      <c r="P973"/>
      <c r="Q973"/>
      <c r="R973"/>
      <c r="S973"/>
    </row>
    <row r="974" spans="7:19" x14ac:dyDescent="0.25">
      <c r="G974"/>
      <c r="H974"/>
      <c r="I974"/>
      <c r="J974"/>
      <c r="L974"/>
      <c r="M974"/>
      <c r="N974"/>
      <c r="O974"/>
      <c r="P974"/>
      <c r="Q974"/>
      <c r="R974"/>
      <c r="S974"/>
    </row>
    <row r="975" spans="7:19" x14ac:dyDescent="0.25">
      <c r="G975"/>
      <c r="H975"/>
      <c r="I975"/>
      <c r="J975"/>
      <c r="L975"/>
      <c r="M975"/>
      <c r="N975"/>
      <c r="O975"/>
      <c r="P975"/>
      <c r="Q975"/>
      <c r="R975"/>
      <c r="S975"/>
    </row>
    <row r="976" spans="7:19" x14ac:dyDescent="0.25">
      <c r="G976"/>
      <c r="H976"/>
      <c r="I976"/>
      <c r="J976"/>
      <c r="L976"/>
      <c r="M976"/>
      <c r="N976"/>
      <c r="O976"/>
      <c r="P976"/>
      <c r="Q976"/>
      <c r="R976"/>
      <c r="S976"/>
    </row>
    <row r="977" spans="7:19" x14ac:dyDescent="0.25">
      <c r="G977"/>
      <c r="H977"/>
      <c r="I977"/>
      <c r="J977"/>
      <c r="L977"/>
      <c r="M977"/>
      <c r="N977"/>
      <c r="O977"/>
      <c r="P977"/>
      <c r="Q977"/>
      <c r="R977"/>
      <c r="S977"/>
    </row>
    <row r="978" spans="7:19" x14ac:dyDescent="0.25">
      <c r="G978"/>
      <c r="H978"/>
      <c r="I978"/>
      <c r="J978"/>
      <c r="L978"/>
      <c r="M978"/>
      <c r="N978"/>
      <c r="O978"/>
      <c r="P978"/>
      <c r="Q978"/>
      <c r="R978"/>
      <c r="S978"/>
    </row>
    <row r="979" spans="7:19" x14ac:dyDescent="0.25">
      <c r="G979"/>
      <c r="H979"/>
      <c r="I979"/>
      <c r="J979"/>
      <c r="L979"/>
      <c r="M979"/>
      <c r="N979"/>
      <c r="O979"/>
      <c r="P979"/>
      <c r="Q979"/>
      <c r="R979"/>
      <c r="S979"/>
    </row>
    <row r="980" spans="7:19" x14ac:dyDescent="0.25">
      <c r="G980"/>
      <c r="H980"/>
      <c r="I980"/>
      <c r="J980"/>
      <c r="L980"/>
      <c r="M980"/>
      <c r="N980"/>
      <c r="O980"/>
      <c r="P980"/>
      <c r="Q980"/>
      <c r="R980"/>
      <c r="S980"/>
    </row>
    <row r="981" spans="7:19" x14ac:dyDescent="0.25">
      <c r="G981"/>
      <c r="H981"/>
      <c r="I981"/>
      <c r="J981"/>
      <c r="L981"/>
      <c r="M981"/>
      <c r="N981"/>
      <c r="O981"/>
      <c r="P981"/>
      <c r="Q981"/>
      <c r="R981"/>
      <c r="S981"/>
    </row>
    <row r="982" spans="7:19" x14ac:dyDescent="0.25">
      <c r="G982"/>
      <c r="H982"/>
      <c r="I982"/>
      <c r="J982"/>
      <c r="L982"/>
      <c r="M982"/>
      <c r="N982"/>
      <c r="O982"/>
      <c r="P982"/>
      <c r="Q982"/>
      <c r="R982"/>
      <c r="S982"/>
    </row>
    <row r="983" spans="7:19" x14ac:dyDescent="0.25">
      <c r="G983"/>
      <c r="H983"/>
      <c r="I983"/>
      <c r="J983"/>
      <c r="L983"/>
      <c r="M983"/>
      <c r="N983"/>
      <c r="O983"/>
      <c r="P983"/>
      <c r="Q983"/>
      <c r="R983"/>
      <c r="S983"/>
    </row>
    <row r="984" spans="7:19" x14ac:dyDescent="0.25">
      <c r="G984"/>
      <c r="H984"/>
      <c r="I984"/>
      <c r="J984"/>
      <c r="L984"/>
      <c r="M984"/>
      <c r="N984"/>
      <c r="O984"/>
      <c r="P984"/>
      <c r="Q984"/>
      <c r="R984"/>
      <c r="S984"/>
    </row>
    <row r="985" spans="7:19" x14ac:dyDescent="0.25">
      <c r="G985"/>
      <c r="H985"/>
      <c r="I985"/>
      <c r="J985"/>
      <c r="L985"/>
      <c r="M985"/>
      <c r="N985"/>
      <c r="O985"/>
      <c r="P985"/>
      <c r="Q985"/>
      <c r="R985"/>
      <c r="S985"/>
    </row>
    <row r="986" spans="7:19" x14ac:dyDescent="0.25">
      <c r="G986"/>
      <c r="H986"/>
      <c r="I986"/>
      <c r="J986"/>
      <c r="L986"/>
      <c r="M986"/>
      <c r="N986"/>
      <c r="O986"/>
      <c r="P986"/>
      <c r="Q986"/>
      <c r="R986"/>
      <c r="S986"/>
    </row>
    <row r="987" spans="7:19" x14ac:dyDescent="0.25">
      <c r="G987"/>
      <c r="H987"/>
      <c r="I987"/>
      <c r="J987"/>
      <c r="L987"/>
      <c r="M987"/>
      <c r="N987"/>
      <c r="O987"/>
      <c r="P987"/>
      <c r="Q987"/>
      <c r="R987"/>
      <c r="S987"/>
    </row>
    <row r="988" spans="7:19" x14ac:dyDescent="0.25">
      <c r="G988"/>
      <c r="H988"/>
      <c r="I988"/>
      <c r="J988"/>
      <c r="L988"/>
      <c r="M988"/>
      <c r="N988"/>
      <c r="O988"/>
      <c r="P988"/>
      <c r="Q988"/>
      <c r="R988"/>
      <c r="S988"/>
    </row>
    <row r="989" spans="7:19" x14ac:dyDescent="0.25">
      <c r="G989"/>
      <c r="H989"/>
      <c r="I989"/>
      <c r="J989"/>
      <c r="L989"/>
      <c r="M989"/>
      <c r="N989"/>
      <c r="O989"/>
      <c r="P989"/>
      <c r="Q989"/>
      <c r="R989"/>
      <c r="S989"/>
    </row>
    <row r="990" spans="7:19" x14ac:dyDescent="0.25">
      <c r="G990"/>
      <c r="H990"/>
      <c r="I990"/>
      <c r="J990"/>
      <c r="L990"/>
      <c r="M990"/>
      <c r="N990"/>
      <c r="O990"/>
      <c r="P990"/>
      <c r="Q990"/>
      <c r="R990"/>
      <c r="S990"/>
    </row>
    <row r="991" spans="7:19" x14ac:dyDescent="0.25">
      <c r="G991"/>
      <c r="H991"/>
      <c r="I991"/>
      <c r="J991"/>
      <c r="L991"/>
      <c r="M991"/>
      <c r="N991"/>
      <c r="O991"/>
      <c r="P991"/>
      <c r="Q991"/>
      <c r="R991"/>
      <c r="S991"/>
    </row>
    <row r="992" spans="7:19" x14ac:dyDescent="0.25">
      <c r="G992"/>
      <c r="H992"/>
      <c r="I992"/>
      <c r="J992"/>
      <c r="L992"/>
      <c r="M992"/>
      <c r="N992"/>
      <c r="O992"/>
      <c r="P992"/>
      <c r="Q992"/>
      <c r="R992"/>
      <c r="S992"/>
    </row>
    <row r="993" spans="7:19" x14ac:dyDescent="0.25">
      <c r="G993"/>
      <c r="H993"/>
      <c r="I993"/>
      <c r="J993"/>
      <c r="L993"/>
      <c r="M993"/>
      <c r="N993"/>
      <c r="O993"/>
      <c r="P993"/>
      <c r="Q993"/>
      <c r="R993"/>
      <c r="S993"/>
    </row>
    <row r="994" spans="7:19" x14ac:dyDescent="0.25">
      <c r="G994"/>
      <c r="H994"/>
      <c r="I994"/>
      <c r="J994"/>
      <c r="L994"/>
      <c r="M994"/>
      <c r="N994"/>
      <c r="O994"/>
      <c r="P994"/>
      <c r="Q994"/>
      <c r="R994"/>
      <c r="S994"/>
    </row>
    <row r="995" spans="7:19" x14ac:dyDescent="0.25">
      <c r="G995"/>
      <c r="H995"/>
      <c r="I995"/>
      <c r="J995"/>
      <c r="L995"/>
      <c r="M995"/>
      <c r="N995"/>
      <c r="O995"/>
      <c r="P995"/>
      <c r="Q995"/>
      <c r="R995"/>
      <c r="S995"/>
    </row>
    <row r="996" spans="7:19" x14ac:dyDescent="0.25">
      <c r="G996"/>
      <c r="H996"/>
      <c r="I996"/>
      <c r="J996"/>
      <c r="L996"/>
      <c r="M996"/>
      <c r="N996"/>
      <c r="O996"/>
      <c r="P996"/>
      <c r="Q996"/>
      <c r="R996"/>
      <c r="S996"/>
    </row>
    <row r="997" spans="7:19" x14ac:dyDescent="0.25">
      <c r="G997"/>
      <c r="H997"/>
      <c r="I997"/>
      <c r="J997"/>
      <c r="L997"/>
      <c r="M997"/>
      <c r="N997"/>
      <c r="O997"/>
      <c r="P997"/>
      <c r="Q997"/>
      <c r="R997"/>
      <c r="S997"/>
    </row>
    <row r="998" spans="7:19" x14ac:dyDescent="0.25">
      <c r="G998"/>
      <c r="H998"/>
      <c r="I998"/>
      <c r="J998"/>
      <c r="L998"/>
      <c r="M998"/>
      <c r="N998"/>
      <c r="O998"/>
      <c r="P998"/>
      <c r="Q998"/>
      <c r="R998"/>
      <c r="S998"/>
    </row>
    <row r="999" spans="7:19" x14ac:dyDescent="0.25">
      <c r="G999"/>
      <c r="H999"/>
      <c r="I999"/>
      <c r="J999"/>
      <c r="L999"/>
      <c r="M999"/>
      <c r="N999"/>
      <c r="O999"/>
      <c r="P999"/>
      <c r="Q999"/>
      <c r="R999"/>
      <c r="S999"/>
    </row>
    <row r="1000" spans="7:19" x14ac:dyDescent="0.25">
      <c r="G1000"/>
      <c r="H1000"/>
      <c r="I1000"/>
      <c r="J1000"/>
      <c r="L1000"/>
      <c r="M1000"/>
      <c r="N1000"/>
      <c r="O1000"/>
      <c r="P1000"/>
      <c r="Q1000"/>
      <c r="R1000"/>
      <c r="S1000"/>
    </row>
    <row r="1001" spans="7:19" x14ac:dyDescent="0.25">
      <c r="G1001"/>
      <c r="H1001"/>
      <c r="I1001"/>
      <c r="J1001"/>
      <c r="L1001"/>
      <c r="M1001"/>
      <c r="N1001"/>
      <c r="O1001"/>
      <c r="P1001"/>
      <c r="Q1001"/>
      <c r="R1001"/>
      <c r="S1001"/>
    </row>
    <row r="1002" spans="7:19" x14ac:dyDescent="0.25">
      <c r="G1002"/>
      <c r="H1002"/>
      <c r="I1002"/>
      <c r="J1002"/>
      <c r="L1002"/>
      <c r="M1002"/>
      <c r="N1002"/>
      <c r="O1002"/>
      <c r="P1002"/>
      <c r="Q1002"/>
      <c r="R1002"/>
      <c r="S1002"/>
    </row>
    <row r="1003" spans="7:19" x14ac:dyDescent="0.25">
      <c r="G1003"/>
      <c r="H1003"/>
      <c r="I1003"/>
      <c r="J1003"/>
      <c r="L1003"/>
      <c r="M1003"/>
      <c r="N1003"/>
      <c r="O1003"/>
      <c r="P1003"/>
      <c r="Q1003"/>
      <c r="R1003"/>
      <c r="S1003"/>
    </row>
    <row r="1004" spans="7:19" x14ac:dyDescent="0.25">
      <c r="G1004"/>
      <c r="H1004"/>
      <c r="I1004"/>
      <c r="J1004"/>
      <c r="L1004"/>
      <c r="M1004"/>
      <c r="N1004"/>
      <c r="O1004"/>
      <c r="P1004"/>
      <c r="Q1004"/>
      <c r="R1004"/>
      <c r="S1004"/>
    </row>
    <row r="1005" spans="7:19" x14ac:dyDescent="0.25">
      <c r="G1005"/>
      <c r="H1005"/>
      <c r="I1005"/>
      <c r="J1005"/>
      <c r="L1005"/>
      <c r="M1005"/>
      <c r="N1005"/>
      <c r="O1005"/>
      <c r="P1005"/>
      <c r="Q1005"/>
      <c r="R1005"/>
      <c r="S1005"/>
    </row>
    <row r="1006" spans="7:19" x14ac:dyDescent="0.25">
      <c r="G1006"/>
      <c r="H1006"/>
      <c r="I1006"/>
      <c r="J1006"/>
      <c r="L1006"/>
      <c r="M1006"/>
      <c r="N1006"/>
      <c r="O1006"/>
      <c r="P1006"/>
      <c r="Q1006"/>
      <c r="R1006"/>
      <c r="S1006"/>
    </row>
    <row r="1007" spans="7:19" x14ac:dyDescent="0.25">
      <c r="G1007"/>
      <c r="H1007"/>
      <c r="I1007"/>
      <c r="J1007"/>
      <c r="L1007"/>
      <c r="M1007"/>
      <c r="N1007"/>
      <c r="O1007"/>
      <c r="P1007"/>
      <c r="Q1007"/>
      <c r="R1007"/>
      <c r="S1007"/>
    </row>
    <row r="1008" spans="7:19" x14ac:dyDescent="0.25">
      <c r="G1008"/>
      <c r="H1008"/>
      <c r="I1008"/>
      <c r="J1008"/>
      <c r="L1008"/>
      <c r="M1008"/>
      <c r="N1008"/>
      <c r="O1008"/>
      <c r="P1008"/>
      <c r="Q1008"/>
      <c r="R1008"/>
      <c r="S1008"/>
    </row>
    <row r="1009" spans="7:19" x14ac:dyDescent="0.25">
      <c r="G1009"/>
      <c r="H1009"/>
      <c r="I1009"/>
      <c r="J1009"/>
      <c r="L1009"/>
      <c r="M1009"/>
      <c r="N1009"/>
      <c r="O1009"/>
      <c r="P1009"/>
      <c r="Q1009"/>
      <c r="R1009"/>
      <c r="S1009"/>
    </row>
    <row r="1010" spans="7:19" x14ac:dyDescent="0.25">
      <c r="G1010"/>
      <c r="H1010"/>
      <c r="I1010"/>
      <c r="J1010"/>
      <c r="L1010"/>
      <c r="M1010"/>
      <c r="N1010"/>
      <c r="O1010"/>
      <c r="P1010"/>
      <c r="Q1010"/>
      <c r="R1010"/>
      <c r="S1010"/>
    </row>
    <row r="1011" spans="7:19" x14ac:dyDescent="0.25">
      <c r="G1011"/>
      <c r="H1011"/>
      <c r="I1011"/>
      <c r="J1011"/>
      <c r="L1011"/>
      <c r="M1011"/>
      <c r="N1011"/>
      <c r="O1011"/>
      <c r="P1011"/>
      <c r="Q1011"/>
      <c r="R1011"/>
      <c r="S1011"/>
    </row>
    <row r="1012" spans="7:19" x14ac:dyDescent="0.25">
      <c r="G1012"/>
      <c r="H1012"/>
      <c r="I1012"/>
      <c r="J1012"/>
      <c r="L1012"/>
      <c r="M1012"/>
      <c r="N1012"/>
      <c r="O1012"/>
      <c r="P1012"/>
      <c r="Q1012"/>
      <c r="R1012"/>
      <c r="S1012"/>
    </row>
    <row r="1013" spans="7:19" x14ac:dyDescent="0.25">
      <c r="G1013"/>
      <c r="H1013"/>
      <c r="I1013"/>
      <c r="J1013"/>
      <c r="L1013"/>
      <c r="M1013"/>
      <c r="N1013"/>
      <c r="O1013"/>
      <c r="P1013"/>
      <c r="Q1013"/>
      <c r="R1013"/>
      <c r="S1013"/>
    </row>
    <row r="1014" spans="7:19" x14ac:dyDescent="0.25">
      <c r="G1014"/>
      <c r="H1014"/>
      <c r="I1014"/>
      <c r="J1014"/>
      <c r="L1014"/>
      <c r="M1014"/>
      <c r="N1014"/>
      <c r="O1014"/>
      <c r="P1014"/>
      <c r="Q1014"/>
      <c r="R1014"/>
      <c r="S1014"/>
    </row>
    <row r="1015" spans="7:19" x14ac:dyDescent="0.25">
      <c r="G1015"/>
      <c r="H1015"/>
      <c r="I1015"/>
      <c r="J1015"/>
      <c r="L1015"/>
      <c r="M1015"/>
      <c r="N1015"/>
      <c r="O1015"/>
      <c r="P1015"/>
      <c r="Q1015"/>
      <c r="R1015"/>
      <c r="S1015"/>
    </row>
    <row r="1016" spans="7:19" x14ac:dyDescent="0.25">
      <c r="G1016"/>
      <c r="H1016"/>
      <c r="I1016"/>
      <c r="J1016"/>
      <c r="L1016"/>
      <c r="M1016"/>
      <c r="N1016"/>
      <c r="O1016"/>
      <c r="P1016"/>
      <c r="Q1016"/>
      <c r="R1016"/>
      <c r="S1016"/>
    </row>
    <row r="1017" spans="7:19" x14ac:dyDescent="0.25">
      <c r="G1017"/>
      <c r="H1017"/>
      <c r="I1017"/>
      <c r="J1017"/>
      <c r="L1017"/>
      <c r="M1017"/>
      <c r="N1017"/>
      <c r="O1017"/>
      <c r="P1017"/>
      <c r="Q1017"/>
      <c r="R1017"/>
      <c r="S1017"/>
    </row>
    <row r="1018" spans="7:19" x14ac:dyDescent="0.25">
      <c r="G1018"/>
      <c r="H1018"/>
      <c r="I1018"/>
      <c r="J1018"/>
      <c r="L1018"/>
      <c r="M1018"/>
      <c r="N1018"/>
      <c r="O1018"/>
      <c r="P1018"/>
      <c r="Q1018"/>
      <c r="R1018"/>
      <c r="S1018"/>
    </row>
    <row r="1019" spans="7:19" x14ac:dyDescent="0.25">
      <c r="G1019"/>
      <c r="H1019"/>
      <c r="I1019"/>
      <c r="J1019"/>
      <c r="L1019"/>
      <c r="M1019"/>
      <c r="N1019"/>
      <c r="O1019"/>
      <c r="P1019"/>
      <c r="Q1019"/>
      <c r="R1019"/>
      <c r="S1019"/>
    </row>
    <row r="1020" spans="7:19" x14ac:dyDescent="0.25">
      <c r="G1020"/>
      <c r="H1020"/>
      <c r="I1020"/>
      <c r="J1020"/>
      <c r="L1020"/>
      <c r="M1020"/>
      <c r="N1020"/>
      <c r="O1020"/>
      <c r="P1020"/>
      <c r="Q1020"/>
      <c r="R1020"/>
      <c r="S1020"/>
    </row>
    <row r="1021" spans="7:19" x14ac:dyDescent="0.25">
      <c r="G1021"/>
      <c r="H1021"/>
      <c r="I1021"/>
      <c r="J1021"/>
      <c r="L1021"/>
      <c r="M1021"/>
      <c r="N1021"/>
      <c r="O1021"/>
      <c r="P1021"/>
      <c r="Q1021"/>
      <c r="R1021"/>
      <c r="S1021"/>
    </row>
    <row r="1022" spans="7:19" x14ac:dyDescent="0.25">
      <c r="G1022"/>
      <c r="H1022"/>
      <c r="I1022"/>
      <c r="J1022"/>
      <c r="L1022"/>
      <c r="M1022"/>
      <c r="N1022"/>
      <c r="O1022"/>
      <c r="P1022"/>
      <c r="Q1022"/>
      <c r="R1022"/>
      <c r="S1022"/>
    </row>
    <row r="1023" spans="7:19" x14ac:dyDescent="0.25">
      <c r="G1023"/>
      <c r="H1023"/>
      <c r="I1023"/>
      <c r="J1023"/>
      <c r="L1023"/>
      <c r="M1023"/>
      <c r="N1023"/>
      <c r="O1023"/>
      <c r="P1023"/>
      <c r="Q1023"/>
      <c r="R1023"/>
      <c r="S1023"/>
    </row>
    <row r="1024" spans="7:19" x14ac:dyDescent="0.25">
      <c r="G1024"/>
      <c r="H1024"/>
      <c r="I1024"/>
      <c r="J1024"/>
      <c r="L1024"/>
      <c r="M1024"/>
      <c r="N1024"/>
      <c r="O1024"/>
      <c r="P1024"/>
      <c r="Q1024"/>
      <c r="R1024"/>
      <c r="S1024"/>
    </row>
    <row r="1025" spans="7:19" x14ac:dyDescent="0.25">
      <c r="G1025"/>
      <c r="H1025"/>
      <c r="I1025"/>
      <c r="J1025"/>
      <c r="L1025"/>
      <c r="M1025"/>
      <c r="N1025"/>
      <c r="O1025"/>
      <c r="P1025"/>
      <c r="Q1025"/>
      <c r="R1025"/>
      <c r="S1025"/>
    </row>
    <row r="1026" spans="7:19" x14ac:dyDescent="0.25">
      <c r="G1026"/>
      <c r="H1026"/>
      <c r="I1026"/>
      <c r="J1026"/>
      <c r="L1026"/>
      <c r="M1026"/>
      <c r="N1026"/>
      <c r="O1026"/>
      <c r="P1026"/>
      <c r="Q1026"/>
      <c r="R1026"/>
      <c r="S1026"/>
    </row>
    <row r="1027" spans="7:19" x14ac:dyDescent="0.25">
      <c r="G1027"/>
      <c r="H1027"/>
      <c r="I1027"/>
      <c r="J1027"/>
      <c r="L1027"/>
      <c r="M1027"/>
      <c r="N1027"/>
      <c r="O1027"/>
      <c r="P1027"/>
      <c r="Q1027"/>
      <c r="R1027"/>
      <c r="S1027"/>
    </row>
    <row r="1028" spans="7:19" x14ac:dyDescent="0.25">
      <c r="G1028"/>
      <c r="H1028"/>
      <c r="I1028"/>
      <c r="J1028"/>
      <c r="L1028"/>
      <c r="M1028"/>
      <c r="N1028"/>
      <c r="O1028"/>
      <c r="P1028"/>
      <c r="Q1028"/>
      <c r="R1028"/>
      <c r="S1028"/>
    </row>
    <row r="1029" spans="7:19" x14ac:dyDescent="0.25">
      <c r="G1029"/>
      <c r="H1029"/>
      <c r="I1029"/>
      <c r="J1029"/>
      <c r="L1029"/>
      <c r="M1029"/>
      <c r="N1029"/>
      <c r="O1029"/>
      <c r="P1029"/>
      <c r="Q1029"/>
      <c r="R1029"/>
      <c r="S1029"/>
    </row>
    <row r="1030" spans="7:19" x14ac:dyDescent="0.25">
      <c r="G1030"/>
      <c r="H1030"/>
      <c r="I1030"/>
      <c r="J1030"/>
      <c r="L1030"/>
      <c r="M1030"/>
      <c r="N1030"/>
      <c r="O1030"/>
      <c r="P1030"/>
      <c r="Q1030"/>
      <c r="R1030"/>
      <c r="S1030"/>
    </row>
    <row r="1031" spans="7:19" x14ac:dyDescent="0.25">
      <c r="G1031"/>
      <c r="H1031"/>
      <c r="I1031"/>
      <c r="J1031"/>
      <c r="L1031"/>
      <c r="M1031"/>
      <c r="N1031"/>
      <c r="O1031"/>
      <c r="P1031"/>
      <c r="Q1031"/>
      <c r="R1031"/>
      <c r="S1031"/>
    </row>
    <row r="1032" spans="7:19" x14ac:dyDescent="0.25">
      <c r="G1032"/>
      <c r="H1032"/>
      <c r="I1032"/>
      <c r="J1032"/>
      <c r="L1032"/>
      <c r="M1032"/>
      <c r="N1032"/>
      <c r="O1032"/>
      <c r="P1032"/>
      <c r="Q1032"/>
      <c r="R1032"/>
      <c r="S1032"/>
    </row>
    <row r="1033" spans="7:19" x14ac:dyDescent="0.25">
      <c r="G1033"/>
      <c r="H1033"/>
      <c r="I1033"/>
      <c r="J1033"/>
      <c r="L1033"/>
      <c r="M1033"/>
      <c r="N1033"/>
      <c r="O1033"/>
      <c r="P1033"/>
      <c r="Q1033"/>
      <c r="R1033"/>
      <c r="S1033"/>
    </row>
    <row r="1034" spans="7:19" x14ac:dyDescent="0.25">
      <c r="G1034"/>
      <c r="H1034"/>
      <c r="I1034"/>
      <c r="J1034"/>
      <c r="L1034"/>
      <c r="M1034"/>
      <c r="N1034"/>
      <c r="O1034"/>
      <c r="P1034"/>
      <c r="Q1034"/>
      <c r="R1034"/>
      <c r="S1034"/>
    </row>
    <row r="1035" spans="7:19" x14ac:dyDescent="0.25">
      <c r="G1035"/>
      <c r="H1035"/>
      <c r="I1035"/>
      <c r="J1035"/>
      <c r="L1035"/>
      <c r="M1035"/>
      <c r="N1035"/>
      <c r="O1035"/>
      <c r="P1035"/>
      <c r="Q1035"/>
      <c r="R1035"/>
      <c r="S1035"/>
    </row>
    <row r="1036" spans="7:19" x14ac:dyDescent="0.25">
      <c r="G1036"/>
      <c r="H1036"/>
      <c r="I1036"/>
      <c r="J1036"/>
      <c r="L1036"/>
      <c r="M1036"/>
      <c r="N1036"/>
      <c r="O1036"/>
      <c r="P1036"/>
      <c r="Q1036"/>
      <c r="R1036"/>
      <c r="S1036"/>
    </row>
    <row r="1037" spans="7:19" x14ac:dyDescent="0.25">
      <c r="G1037"/>
      <c r="H1037"/>
      <c r="I1037"/>
      <c r="J1037"/>
      <c r="L1037"/>
      <c r="M1037"/>
      <c r="N1037"/>
      <c r="O1037"/>
      <c r="P1037"/>
      <c r="Q1037"/>
      <c r="R1037"/>
      <c r="S1037"/>
    </row>
    <row r="1038" spans="7:19" x14ac:dyDescent="0.25">
      <c r="G1038"/>
      <c r="H1038"/>
      <c r="I1038"/>
      <c r="J1038"/>
      <c r="L1038"/>
      <c r="M1038"/>
      <c r="N1038"/>
      <c r="O1038"/>
      <c r="P1038"/>
      <c r="Q1038"/>
      <c r="R1038"/>
      <c r="S1038"/>
    </row>
    <row r="1039" spans="7:19" x14ac:dyDescent="0.25">
      <c r="G1039"/>
      <c r="H1039"/>
      <c r="I1039"/>
      <c r="J1039"/>
      <c r="L1039"/>
      <c r="M1039"/>
      <c r="N1039"/>
      <c r="O1039"/>
      <c r="P1039"/>
      <c r="Q1039"/>
      <c r="R1039"/>
      <c r="S1039"/>
    </row>
    <row r="1040" spans="7:19" x14ac:dyDescent="0.25">
      <c r="G1040"/>
      <c r="H1040"/>
      <c r="I1040"/>
      <c r="J1040"/>
      <c r="L1040"/>
      <c r="M1040"/>
      <c r="N1040"/>
      <c r="O1040"/>
      <c r="P1040"/>
      <c r="Q1040"/>
      <c r="R1040"/>
      <c r="S1040"/>
    </row>
    <row r="1041" spans="7:19" x14ac:dyDescent="0.25">
      <c r="G1041"/>
      <c r="H1041"/>
      <c r="I1041"/>
      <c r="J1041"/>
      <c r="L1041"/>
      <c r="M1041"/>
      <c r="N1041"/>
      <c r="O1041"/>
      <c r="P1041"/>
      <c r="Q1041"/>
      <c r="R1041"/>
      <c r="S1041"/>
    </row>
    <row r="1042" spans="7:19" x14ac:dyDescent="0.25">
      <c r="G1042"/>
      <c r="H1042"/>
      <c r="I1042"/>
      <c r="J1042"/>
      <c r="L1042"/>
      <c r="M1042"/>
      <c r="N1042"/>
      <c r="O1042"/>
      <c r="P1042"/>
      <c r="Q1042"/>
      <c r="R1042"/>
      <c r="S1042"/>
    </row>
    <row r="1043" spans="7:19" x14ac:dyDescent="0.25">
      <c r="G1043"/>
      <c r="H1043"/>
      <c r="I1043"/>
      <c r="J1043"/>
      <c r="L1043"/>
      <c r="M1043"/>
      <c r="N1043"/>
      <c r="O1043"/>
      <c r="P1043"/>
      <c r="Q1043"/>
      <c r="R1043"/>
      <c r="S1043"/>
    </row>
    <row r="1044" spans="7:19" x14ac:dyDescent="0.25">
      <c r="G1044"/>
      <c r="H1044"/>
      <c r="I1044"/>
      <c r="J1044"/>
      <c r="L1044"/>
      <c r="M1044"/>
      <c r="N1044"/>
      <c r="O1044"/>
      <c r="P1044"/>
      <c r="Q1044"/>
      <c r="R1044"/>
      <c r="S1044"/>
    </row>
    <row r="1045" spans="7:19" x14ac:dyDescent="0.25">
      <c r="G1045"/>
      <c r="H1045"/>
      <c r="I1045"/>
      <c r="J1045"/>
      <c r="L1045"/>
      <c r="M1045"/>
      <c r="N1045"/>
      <c r="O1045"/>
      <c r="P1045"/>
      <c r="Q1045"/>
      <c r="R1045"/>
      <c r="S1045"/>
    </row>
    <row r="1046" spans="7:19" x14ac:dyDescent="0.25">
      <c r="G1046"/>
      <c r="H1046"/>
      <c r="I1046"/>
      <c r="J1046"/>
      <c r="L1046"/>
      <c r="M1046"/>
      <c r="N1046"/>
      <c r="O1046"/>
      <c r="P1046"/>
      <c r="Q1046"/>
      <c r="R1046"/>
      <c r="S1046"/>
    </row>
    <row r="1047" spans="7:19" x14ac:dyDescent="0.25">
      <c r="G1047"/>
      <c r="H1047"/>
      <c r="I1047"/>
      <c r="J1047"/>
      <c r="L1047"/>
      <c r="M1047"/>
      <c r="N1047"/>
      <c r="O1047"/>
      <c r="P1047"/>
      <c r="Q1047"/>
      <c r="R1047"/>
      <c r="S1047"/>
    </row>
    <row r="1048" spans="7:19" x14ac:dyDescent="0.25">
      <c r="G1048"/>
      <c r="H1048"/>
      <c r="I1048"/>
      <c r="J1048"/>
      <c r="L1048"/>
      <c r="M1048"/>
      <c r="N1048"/>
      <c r="O1048"/>
      <c r="P1048"/>
      <c r="Q1048"/>
      <c r="R1048"/>
      <c r="S1048"/>
    </row>
    <row r="1049" spans="7:19" x14ac:dyDescent="0.25">
      <c r="G1049"/>
      <c r="H1049"/>
      <c r="I1049"/>
      <c r="J1049"/>
      <c r="L1049"/>
      <c r="M1049"/>
      <c r="N1049"/>
      <c r="O1049"/>
      <c r="P1049"/>
      <c r="Q1049"/>
      <c r="R1049"/>
      <c r="S1049"/>
    </row>
    <row r="1050" spans="7:19" x14ac:dyDescent="0.25">
      <c r="G1050"/>
      <c r="H1050"/>
      <c r="I1050"/>
      <c r="J1050"/>
      <c r="L1050"/>
      <c r="M1050"/>
      <c r="N1050"/>
      <c r="O1050"/>
      <c r="P1050"/>
      <c r="Q1050"/>
      <c r="R1050"/>
      <c r="S1050"/>
    </row>
    <row r="1051" spans="7:19" x14ac:dyDescent="0.25">
      <c r="G1051"/>
      <c r="H1051"/>
      <c r="I1051"/>
      <c r="J1051"/>
      <c r="L1051"/>
      <c r="M1051"/>
      <c r="N1051"/>
      <c r="O1051"/>
      <c r="P1051"/>
      <c r="Q1051"/>
      <c r="R1051"/>
      <c r="S1051"/>
    </row>
    <row r="1052" spans="7:19" x14ac:dyDescent="0.25">
      <c r="G1052"/>
      <c r="H1052"/>
      <c r="I1052"/>
      <c r="J1052"/>
      <c r="L1052"/>
      <c r="M1052"/>
      <c r="N1052"/>
      <c r="O1052"/>
      <c r="P1052"/>
      <c r="Q1052"/>
      <c r="R1052"/>
      <c r="S1052"/>
    </row>
    <row r="1053" spans="7:19" x14ac:dyDescent="0.25">
      <c r="G1053"/>
      <c r="H1053"/>
      <c r="I1053"/>
      <c r="J1053"/>
      <c r="L1053"/>
      <c r="M1053"/>
      <c r="N1053"/>
      <c r="O1053"/>
      <c r="P1053"/>
      <c r="Q1053"/>
      <c r="R1053"/>
      <c r="S1053"/>
    </row>
    <row r="1054" spans="7:19" x14ac:dyDescent="0.25">
      <c r="G1054"/>
      <c r="H1054"/>
      <c r="I1054"/>
      <c r="J1054"/>
      <c r="L1054"/>
      <c r="M1054"/>
      <c r="N1054"/>
      <c r="O1054"/>
      <c r="P1054"/>
      <c r="Q1054"/>
      <c r="R1054"/>
      <c r="S1054"/>
    </row>
    <row r="1055" spans="7:19" x14ac:dyDescent="0.25">
      <c r="G1055"/>
      <c r="H1055"/>
      <c r="I1055"/>
      <c r="J1055"/>
      <c r="L1055"/>
      <c r="M1055"/>
      <c r="N1055"/>
      <c r="O1055"/>
      <c r="P1055"/>
      <c r="Q1055"/>
      <c r="R1055"/>
      <c r="S1055"/>
    </row>
    <row r="1056" spans="7:19" x14ac:dyDescent="0.25">
      <c r="G1056"/>
      <c r="H1056"/>
      <c r="I1056"/>
      <c r="J1056"/>
      <c r="L1056"/>
      <c r="M1056"/>
      <c r="N1056"/>
      <c r="O1056"/>
      <c r="P1056"/>
      <c r="Q1056"/>
      <c r="R1056"/>
      <c r="S1056"/>
    </row>
    <row r="1057" spans="7:19" x14ac:dyDescent="0.25">
      <c r="G1057"/>
      <c r="H1057"/>
      <c r="I1057"/>
      <c r="J1057"/>
      <c r="L1057"/>
      <c r="M1057"/>
      <c r="N1057"/>
      <c r="O1057"/>
      <c r="P1057"/>
      <c r="Q1057"/>
      <c r="R1057"/>
      <c r="S1057"/>
    </row>
    <row r="1058" spans="7:19" x14ac:dyDescent="0.25">
      <c r="G1058"/>
      <c r="H1058"/>
      <c r="I1058"/>
      <c r="J1058"/>
      <c r="L1058"/>
      <c r="M1058"/>
      <c r="N1058"/>
      <c r="O1058"/>
      <c r="P1058"/>
      <c r="Q1058"/>
      <c r="R1058"/>
      <c r="S1058"/>
    </row>
    <row r="1059" spans="7:19" x14ac:dyDescent="0.25">
      <c r="G1059"/>
      <c r="H1059"/>
      <c r="I1059"/>
      <c r="J1059"/>
      <c r="L1059"/>
      <c r="M1059"/>
      <c r="N1059"/>
      <c r="O1059"/>
      <c r="P1059"/>
      <c r="Q1059"/>
      <c r="R1059"/>
      <c r="S1059"/>
    </row>
    <row r="1060" spans="7:19" x14ac:dyDescent="0.25">
      <c r="G1060"/>
      <c r="H1060"/>
      <c r="I1060"/>
      <c r="J1060"/>
      <c r="L1060"/>
      <c r="M1060"/>
      <c r="N1060"/>
      <c r="O1060"/>
      <c r="P1060"/>
      <c r="Q1060"/>
      <c r="R1060"/>
      <c r="S1060"/>
    </row>
    <row r="1061" spans="7:19" x14ac:dyDescent="0.25">
      <c r="G1061"/>
      <c r="H1061"/>
      <c r="I1061"/>
      <c r="J1061"/>
      <c r="L1061"/>
      <c r="M1061"/>
      <c r="N1061"/>
      <c r="O1061"/>
      <c r="P1061"/>
      <c r="Q1061"/>
      <c r="R1061"/>
      <c r="S1061"/>
    </row>
    <row r="1062" spans="7:19" x14ac:dyDescent="0.25">
      <c r="G1062"/>
      <c r="H1062"/>
      <c r="I1062"/>
      <c r="J1062"/>
      <c r="L1062"/>
      <c r="M1062"/>
      <c r="N1062"/>
      <c r="O1062"/>
      <c r="P1062"/>
      <c r="Q1062"/>
      <c r="R1062"/>
      <c r="S1062"/>
    </row>
    <row r="1063" spans="7:19" x14ac:dyDescent="0.25">
      <c r="G1063"/>
      <c r="H1063"/>
      <c r="I1063"/>
      <c r="J1063"/>
      <c r="L1063"/>
      <c r="M1063"/>
      <c r="N1063"/>
      <c r="O1063"/>
      <c r="P1063"/>
      <c r="Q1063"/>
      <c r="R1063"/>
      <c r="S1063"/>
    </row>
    <row r="1064" spans="7:19" x14ac:dyDescent="0.25">
      <c r="G1064"/>
      <c r="H1064"/>
      <c r="I1064"/>
      <c r="J1064"/>
      <c r="L1064"/>
      <c r="M1064"/>
      <c r="N1064"/>
      <c r="O1064"/>
      <c r="P1064"/>
      <c r="Q1064"/>
      <c r="R1064"/>
      <c r="S1064"/>
    </row>
    <row r="1065" spans="7:19" x14ac:dyDescent="0.25">
      <c r="G1065"/>
      <c r="H1065"/>
      <c r="I1065"/>
      <c r="J1065"/>
      <c r="L1065"/>
      <c r="M1065"/>
      <c r="N1065"/>
      <c r="O1065"/>
      <c r="P1065"/>
      <c r="Q1065"/>
      <c r="R1065"/>
      <c r="S1065"/>
    </row>
    <row r="1066" spans="7:19" x14ac:dyDescent="0.25">
      <c r="G1066"/>
      <c r="H1066"/>
      <c r="I1066"/>
      <c r="J1066"/>
      <c r="L1066"/>
      <c r="M1066"/>
      <c r="N1066"/>
      <c r="O1066"/>
      <c r="P1066"/>
      <c r="Q1066"/>
      <c r="R1066"/>
      <c r="S1066"/>
    </row>
    <row r="1067" spans="7:19" x14ac:dyDescent="0.25">
      <c r="G1067"/>
      <c r="H1067"/>
      <c r="I1067"/>
      <c r="J1067"/>
      <c r="L1067"/>
      <c r="M1067"/>
      <c r="N1067"/>
      <c r="O1067"/>
      <c r="P1067"/>
      <c r="Q1067"/>
      <c r="R1067"/>
      <c r="S1067"/>
    </row>
    <row r="1068" spans="7:19" x14ac:dyDescent="0.25">
      <c r="G1068"/>
      <c r="H1068"/>
      <c r="I1068"/>
      <c r="J1068"/>
      <c r="L1068"/>
      <c r="M1068"/>
      <c r="N1068"/>
      <c r="O1068"/>
      <c r="P1068"/>
      <c r="Q1068"/>
      <c r="R1068"/>
      <c r="S1068"/>
    </row>
    <row r="1069" spans="7:19" x14ac:dyDescent="0.25">
      <c r="G1069"/>
      <c r="H1069"/>
      <c r="I1069"/>
      <c r="J1069"/>
      <c r="L1069"/>
      <c r="M1069"/>
      <c r="N1069"/>
      <c r="O1069"/>
      <c r="P1069"/>
      <c r="Q1069"/>
      <c r="R1069"/>
      <c r="S1069"/>
    </row>
    <row r="1070" spans="7:19" x14ac:dyDescent="0.25">
      <c r="G1070"/>
      <c r="H1070"/>
      <c r="I1070"/>
      <c r="J1070"/>
      <c r="L1070"/>
      <c r="M1070"/>
      <c r="N1070"/>
      <c r="O1070"/>
      <c r="P1070"/>
      <c r="Q1070"/>
      <c r="R1070"/>
      <c r="S1070"/>
    </row>
    <row r="1071" spans="7:19" x14ac:dyDescent="0.25">
      <c r="G1071"/>
      <c r="H1071"/>
      <c r="I1071"/>
      <c r="J1071"/>
      <c r="L1071"/>
      <c r="M1071"/>
      <c r="N1071"/>
      <c r="O1071"/>
      <c r="P1071"/>
      <c r="Q1071"/>
      <c r="R1071"/>
      <c r="S1071"/>
    </row>
    <row r="1072" spans="7:19" x14ac:dyDescent="0.25">
      <c r="G1072"/>
      <c r="H1072"/>
      <c r="I1072"/>
      <c r="J1072"/>
      <c r="L1072"/>
      <c r="M1072"/>
      <c r="N1072"/>
      <c r="O1072"/>
      <c r="P1072"/>
      <c r="Q1072"/>
      <c r="R1072"/>
      <c r="S1072"/>
    </row>
    <row r="1073" spans="7:19" x14ac:dyDescent="0.25">
      <c r="G1073"/>
      <c r="H1073"/>
      <c r="I1073"/>
      <c r="J1073"/>
      <c r="L1073"/>
      <c r="M1073"/>
      <c r="N1073"/>
      <c r="O1073"/>
      <c r="P1073"/>
      <c r="Q1073"/>
      <c r="R1073"/>
      <c r="S1073"/>
    </row>
    <row r="1074" spans="7:19" x14ac:dyDescent="0.25">
      <c r="G1074"/>
      <c r="H1074"/>
      <c r="I1074"/>
      <c r="J1074"/>
      <c r="L1074"/>
      <c r="M1074"/>
      <c r="N1074"/>
      <c r="O1074"/>
      <c r="P1074"/>
      <c r="Q1074"/>
      <c r="R1074"/>
      <c r="S1074"/>
    </row>
    <row r="1075" spans="7:19" x14ac:dyDescent="0.25">
      <c r="G1075"/>
      <c r="H1075"/>
      <c r="I1075"/>
      <c r="J1075"/>
      <c r="L1075"/>
      <c r="M1075"/>
      <c r="N1075"/>
      <c r="O1075"/>
      <c r="P1075"/>
      <c r="Q1075"/>
      <c r="R1075"/>
      <c r="S1075"/>
    </row>
    <row r="1076" spans="7:19" x14ac:dyDescent="0.25">
      <c r="G1076"/>
      <c r="H1076"/>
      <c r="I1076"/>
      <c r="J1076"/>
      <c r="L1076"/>
      <c r="M1076"/>
      <c r="N1076"/>
      <c r="O1076"/>
      <c r="P1076"/>
      <c r="Q1076"/>
      <c r="R1076"/>
      <c r="S1076"/>
    </row>
    <row r="1077" spans="7:19" x14ac:dyDescent="0.25">
      <c r="G1077"/>
      <c r="H1077"/>
      <c r="I1077"/>
      <c r="J1077"/>
      <c r="L1077"/>
      <c r="M1077"/>
      <c r="N1077"/>
      <c r="O1077"/>
      <c r="P1077"/>
      <c r="Q1077"/>
      <c r="R1077"/>
      <c r="S1077"/>
    </row>
    <row r="1078" spans="7:19" x14ac:dyDescent="0.25">
      <c r="G1078"/>
      <c r="H1078"/>
      <c r="I1078"/>
      <c r="J1078"/>
      <c r="L1078"/>
      <c r="M1078"/>
      <c r="N1078"/>
      <c r="O1078"/>
      <c r="P1078"/>
      <c r="Q1078"/>
      <c r="R1078"/>
      <c r="S1078"/>
    </row>
    <row r="1079" spans="7:19" x14ac:dyDescent="0.25">
      <c r="G1079"/>
      <c r="H1079"/>
      <c r="I1079"/>
      <c r="J1079"/>
      <c r="L1079"/>
      <c r="M1079"/>
      <c r="N1079"/>
      <c r="O1079"/>
      <c r="P1079"/>
      <c r="Q1079"/>
      <c r="R1079"/>
      <c r="S1079"/>
    </row>
    <row r="1080" spans="7:19" x14ac:dyDescent="0.25">
      <c r="G1080"/>
      <c r="H1080"/>
      <c r="I1080"/>
      <c r="J1080"/>
      <c r="L1080"/>
      <c r="M1080"/>
      <c r="N1080"/>
      <c r="O1080"/>
      <c r="P1080"/>
      <c r="Q1080"/>
      <c r="R1080"/>
      <c r="S1080"/>
    </row>
    <row r="1081" spans="7:19" x14ac:dyDescent="0.25">
      <c r="G1081"/>
      <c r="H1081"/>
      <c r="I1081"/>
      <c r="J1081"/>
      <c r="L1081"/>
      <c r="M1081"/>
      <c r="N1081"/>
      <c r="O1081"/>
      <c r="P1081"/>
      <c r="Q1081"/>
      <c r="R1081"/>
      <c r="S1081"/>
    </row>
    <row r="1082" spans="7:19" x14ac:dyDescent="0.25">
      <c r="G1082"/>
      <c r="H1082"/>
      <c r="I1082"/>
      <c r="J1082"/>
      <c r="L1082"/>
      <c r="M1082"/>
      <c r="N1082"/>
      <c r="O1082"/>
      <c r="P1082"/>
      <c r="Q1082"/>
      <c r="R1082"/>
      <c r="S1082"/>
    </row>
    <row r="1083" spans="7:19" x14ac:dyDescent="0.25">
      <c r="G1083"/>
      <c r="H1083"/>
      <c r="I1083"/>
      <c r="J1083"/>
      <c r="L1083"/>
      <c r="M1083"/>
      <c r="N1083"/>
      <c r="O1083"/>
      <c r="P1083"/>
      <c r="Q1083"/>
      <c r="R1083"/>
      <c r="S1083"/>
    </row>
    <row r="1084" spans="7:19" x14ac:dyDescent="0.25">
      <c r="G1084"/>
      <c r="H1084"/>
      <c r="I1084"/>
      <c r="J1084"/>
      <c r="L1084"/>
      <c r="M1084"/>
      <c r="N1084"/>
      <c r="O1084"/>
      <c r="P1084"/>
      <c r="Q1084"/>
      <c r="R1084"/>
      <c r="S1084"/>
    </row>
    <row r="1085" spans="7:19" x14ac:dyDescent="0.25">
      <c r="G1085"/>
      <c r="H1085"/>
      <c r="I1085"/>
      <c r="J1085"/>
      <c r="L1085"/>
      <c r="M1085"/>
      <c r="N1085"/>
      <c r="O1085"/>
      <c r="P1085"/>
      <c r="Q1085"/>
      <c r="R1085"/>
      <c r="S1085"/>
    </row>
    <row r="1086" spans="7:19" x14ac:dyDescent="0.25">
      <c r="G1086"/>
      <c r="H1086"/>
      <c r="I1086"/>
      <c r="J1086"/>
      <c r="L1086"/>
      <c r="M1086"/>
      <c r="N1086"/>
      <c r="O1086"/>
      <c r="P1086"/>
      <c r="Q1086"/>
      <c r="R1086"/>
      <c r="S1086"/>
    </row>
    <row r="1087" spans="7:19" x14ac:dyDescent="0.25">
      <c r="G1087"/>
      <c r="H1087"/>
      <c r="I1087"/>
      <c r="J1087"/>
      <c r="L1087"/>
      <c r="M1087"/>
      <c r="N1087"/>
      <c r="O1087"/>
      <c r="P1087"/>
      <c r="Q1087"/>
      <c r="R1087"/>
      <c r="S1087"/>
    </row>
    <row r="1088" spans="7:19" x14ac:dyDescent="0.25">
      <c r="G1088"/>
      <c r="H1088"/>
      <c r="I1088"/>
      <c r="J1088"/>
      <c r="L1088"/>
      <c r="M1088"/>
      <c r="N1088"/>
      <c r="O1088"/>
      <c r="P1088"/>
      <c r="Q1088"/>
      <c r="R1088"/>
      <c r="S1088"/>
    </row>
    <row r="1089" spans="7:19" x14ac:dyDescent="0.25">
      <c r="G1089"/>
      <c r="H1089"/>
      <c r="I1089"/>
      <c r="J1089"/>
      <c r="L1089"/>
      <c r="M1089"/>
      <c r="N1089"/>
      <c r="O1089"/>
      <c r="P1089"/>
      <c r="Q1089"/>
      <c r="R1089"/>
      <c r="S1089"/>
    </row>
    <row r="1090" spans="7:19" x14ac:dyDescent="0.25">
      <c r="G1090"/>
      <c r="H1090"/>
      <c r="I1090"/>
      <c r="J1090"/>
      <c r="L1090"/>
      <c r="M1090"/>
      <c r="N1090"/>
      <c r="O1090"/>
      <c r="P1090"/>
      <c r="Q1090"/>
      <c r="R1090"/>
      <c r="S1090"/>
    </row>
    <row r="1091" spans="7:19" x14ac:dyDescent="0.25">
      <c r="G1091"/>
      <c r="H1091"/>
      <c r="I1091"/>
      <c r="J1091"/>
      <c r="L1091"/>
      <c r="M1091"/>
      <c r="N1091"/>
      <c r="O1091"/>
      <c r="P1091"/>
      <c r="Q1091"/>
      <c r="R1091"/>
      <c r="S1091"/>
    </row>
    <row r="1092" spans="7:19" x14ac:dyDescent="0.25">
      <c r="G1092"/>
      <c r="H1092"/>
      <c r="I1092"/>
      <c r="J1092"/>
      <c r="L1092"/>
      <c r="M1092"/>
      <c r="N1092"/>
      <c r="O1092"/>
      <c r="P1092"/>
      <c r="Q1092"/>
      <c r="R1092"/>
      <c r="S1092"/>
    </row>
    <row r="1093" spans="7:19" x14ac:dyDescent="0.25">
      <c r="G1093"/>
      <c r="H1093"/>
      <c r="I1093"/>
      <c r="J1093"/>
      <c r="L1093"/>
      <c r="M1093"/>
      <c r="N1093"/>
      <c r="O1093"/>
      <c r="P1093"/>
      <c r="Q1093"/>
      <c r="R1093"/>
      <c r="S1093"/>
    </row>
    <row r="1094" spans="7:19" x14ac:dyDescent="0.25">
      <c r="G1094"/>
      <c r="H1094"/>
      <c r="I1094"/>
      <c r="J1094"/>
      <c r="L1094"/>
      <c r="M1094"/>
      <c r="N1094"/>
      <c r="O1094"/>
      <c r="P1094"/>
      <c r="Q1094"/>
      <c r="R1094"/>
      <c r="S1094"/>
    </row>
    <row r="1095" spans="7:19" x14ac:dyDescent="0.25">
      <c r="G1095"/>
      <c r="H1095"/>
      <c r="I1095"/>
      <c r="J1095"/>
      <c r="L1095"/>
      <c r="M1095"/>
      <c r="N1095"/>
      <c r="O1095"/>
      <c r="P1095"/>
      <c r="Q1095"/>
      <c r="R1095"/>
      <c r="S1095"/>
    </row>
    <row r="1096" spans="7:19" x14ac:dyDescent="0.25">
      <c r="G1096"/>
      <c r="H1096"/>
      <c r="I1096"/>
      <c r="J1096"/>
      <c r="L1096"/>
      <c r="M1096"/>
      <c r="N1096"/>
      <c r="O1096"/>
      <c r="P1096"/>
      <c r="Q1096"/>
      <c r="R1096"/>
      <c r="S1096"/>
    </row>
    <row r="1097" spans="7:19" x14ac:dyDescent="0.25">
      <c r="G1097"/>
      <c r="H1097"/>
      <c r="I1097"/>
      <c r="J1097"/>
      <c r="L1097"/>
      <c r="M1097"/>
      <c r="N1097"/>
      <c r="O1097"/>
      <c r="P1097"/>
      <c r="Q1097"/>
      <c r="R1097"/>
      <c r="S1097"/>
    </row>
    <row r="1098" spans="7:19" x14ac:dyDescent="0.25">
      <c r="G1098"/>
      <c r="H1098"/>
      <c r="I1098"/>
      <c r="J1098"/>
      <c r="L1098"/>
      <c r="M1098"/>
      <c r="N1098"/>
      <c r="O1098"/>
      <c r="P1098"/>
      <c r="Q1098"/>
      <c r="R1098"/>
      <c r="S1098"/>
    </row>
    <row r="1099" spans="7:19" x14ac:dyDescent="0.25">
      <c r="G1099"/>
      <c r="H1099"/>
      <c r="I1099"/>
      <c r="J1099"/>
      <c r="L1099"/>
      <c r="M1099"/>
      <c r="N1099"/>
      <c r="O1099"/>
      <c r="P1099"/>
      <c r="Q1099"/>
      <c r="R1099"/>
      <c r="S1099"/>
    </row>
    <row r="1100" spans="7:19" x14ac:dyDescent="0.25">
      <c r="G1100"/>
      <c r="H1100"/>
      <c r="I1100"/>
      <c r="J1100"/>
      <c r="L1100"/>
      <c r="M1100"/>
      <c r="N1100"/>
      <c r="O1100"/>
      <c r="P1100"/>
      <c r="Q1100"/>
      <c r="R1100"/>
      <c r="S1100"/>
    </row>
    <row r="1101" spans="7:19" x14ac:dyDescent="0.25">
      <c r="G1101"/>
      <c r="H1101"/>
      <c r="I1101"/>
      <c r="J1101"/>
      <c r="L1101"/>
      <c r="M1101"/>
      <c r="N1101"/>
      <c r="O1101"/>
      <c r="P1101"/>
      <c r="Q1101"/>
      <c r="R1101"/>
      <c r="S1101"/>
    </row>
    <row r="1102" spans="7:19" x14ac:dyDescent="0.25">
      <c r="G1102"/>
      <c r="H1102"/>
      <c r="I1102"/>
      <c r="J1102"/>
      <c r="L1102"/>
      <c r="M1102"/>
      <c r="N1102"/>
      <c r="O1102"/>
      <c r="P1102"/>
      <c r="Q1102"/>
      <c r="R1102"/>
      <c r="S1102"/>
    </row>
    <row r="1103" spans="7:19" x14ac:dyDescent="0.25">
      <c r="G1103"/>
      <c r="H1103"/>
      <c r="I1103"/>
      <c r="J1103"/>
      <c r="L1103"/>
      <c r="M1103"/>
      <c r="N1103"/>
      <c r="O1103"/>
      <c r="P1103"/>
      <c r="Q1103"/>
      <c r="R1103"/>
      <c r="S1103"/>
    </row>
    <row r="1104" spans="7:19" x14ac:dyDescent="0.25">
      <c r="G1104"/>
      <c r="H1104"/>
      <c r="I1104"/>
      <c r="J1104"/>
      <c r="L1104"/>
      <c r="M1104"/>
      <c r="N1104"/>
      <c r="O1104"/>
      <c r="P1104"/>
      <c r="Q1104"/>
      <c r="R1104"/>
      <c r="S1104"/>
    </row>
    <row r="1105" spans="7:19" x14ac:dyDescent="0.25">
      <c r="G1105"/>
      <c r="H1105"/>
      <c r="I1105"/>
      <c r="J1105"/>
      <c r="L1105"/>
      <c r="M1105"/>
      <c r="N1105"/>
      <c r="O1105"/>
      <c r="P1105"/>
      <c r="Q1105"/>
      <c r="R1105"/>
      <c r="S1105"/>
    </row>
    <row r="1106" spans="7:19" x14ac:dyDescent="0.25">
      <c r="G1106"/>
      <c r="H1106"/>
      <c r="I1106"/>
      <c r="J1106"/>
      <c r="L1106"/>
      <c r="M1106"/>
      <c r="N1106"/>
      <c r="O1106"/>
      <c r="P1106"/>
      <c r="Q1106"/>
      <c r="R1106"/>
      <c r="S1106"/>
    </row>
    <row r="1107" spans="7:19" x14ac:dyDescent="0.25">
      <c r="G1107"/>
      <c r="H1107"/>
      <c r="I1107"/>
      <c r="J1107"/>
      <c r="L1107"/>
      <c r="M1107"/>
      <c r="N1107"/>
      <c r="O1107"/>
      <c r="P1107"/>
      <c r="Q1107"/>
      <c r="R1107"/>
      <c r="S1107"/>
    </row>
    <row r="1108" spans="7:19" x14ac:dyDescent="0.25">
      <c r="G1108"/>
      <c r="H1108"/>
      <c r="I1108"/>
      <c r="J1108"/>
      <c r="L1108"/>
      <c r="M1108"/>
      <c r="N1108"/>
      <c r="O1108"/>
      <c r="P1108"/>
      <c r="Q1108"/>
      <c r="R1108"/>
      <c r="S1108"/>
    </row>
    <row r="1109" spans="7:19" x14ac:dyDescent="0.25">
      <c r="G1109"/>
      <c r="H1109"/>
      <c r="I1109"/>
      <c r="J1109"/>
      <c r="L1109"/>
      <c r="M1109"/>
      <c r="N1109"/>
      <c r="O1109"/>
      <c r="P1109"/>
      <c r="Q1109"/>
      <c r="R1109"/>
      <c r="S1109"/>
    </row>
    <row r="1110" spans="7:19" x14ac:dyDescent="0.25">
      <c r="G1110"/>
      <c r="H1110"/>
      <c r="I1110"/>
      <c r="J1110"/>
      <c r="L1110"/>
      <c r="M1110"/>
      <c r="N1110"/>
      <c r="O1110"/>
      <c r="P1110"/>
      <c r="Q1110"/>
      <c r="R1110"/>
      <c r="S1110"/>
    </row>
    <row r="1111" spans="7:19" x14ac:dyDescent="0.25">
      <c r="G1111"/>
      <c r="H1111"/>
      <c r="I1111"/>
      <c r="J1111"/>
      <c r="L1111"/>
      <c r="M1111"/>
      <c r="N1111"/>
      <c r="O1111"/>
      <c r="P1111"/>
      <c r="Q1111"/>
      <c r="R1111"/>
      <c r="S1111"/>
    </row>
    <row r="1112" spans="7:19" x14ac:dyDescent="0.25">
      <c r="G1112"/>
      <c r="H1112"/>
      <c r="I1112"/>
      <c r="J1112"/>
      <c r="L1112"/>
      <c r="M1112"/>
      <c r="N1112"/>
      <c r="O1112"/>
      <c r="P1112"/>
      <c r="Q1112"/>
      <c r="R1112"/>
      <c r="S1112"/>
    </row>
    <row r="1113" spans="7:19" x14ac:dyDescent="0.25">
      <c r="G1113"/>
      <c r="H1113"/>
      <c r="I1113"/>
      <c r="J1113"/>
      <c r="L1113"/>
      <c r="M1113"/>
      <c r="N1113"/>
      <c r="O1113"/>
      <c r="P1113"/>
      <c r="Q1113"/>
      <c r="R1113"/>
      <c r="S1113"/>
    </row>
    <row r="1114" spans="7:19" x14ac:dyDescent="0.25">
      <c r="G1114"/>
      <c r="H1114"/>
      <c r="I1114"/>
      <c r="J1114"/>
      <c r="L1114"/>
      <c r="M1114"/>
      <c r="N1114"/>
      <c r="O1114"/>
      <c r="P1114"/>
      <c r="Q1114"/>
      <c r="R1114"/>
      <c r="S1114"/>
    </row>
    <row r="1115" spans="7:19" x14ac:dyDescent="0.25">
      <c r="G1115"/>
      <c r="H1115"/>
      <c r="I1115"/>
      <c r="J1115"/>
      <c r="L1115"/>
      <c r="M1115"/>
      <c r="N1115"/>
      <c r="O1115"/>
      <c r="P1115"/>
      <c r="Q1115"/>
      <c r="R1115"/>
      <c r="S1115"/>
    </row>
    <row r="1116" spans="7:19" x14ac:dyDescent="0.25">
      <c r="G1116"/>
      <c r="H1116"/>
      <c r="I1116"/>
      <c r="J1116"/>
      <c r="L1116"/>
      <c r="M1116"/>
      <c r="N1116"/>
      <c r="O1116"/>
      <c r="P1116"/>
      <c r="Q1116"/>
      <c r="R1116"/>
      <c r="S1116"/>
    </row>
    <row r="1117" spans="7:19" x14ac:dyDescent="0.25">
      <c r="G1117"/>
      <c r="H1117"/>
      <c r="I1117"/>
      <c r="J1117"/>
      <c r="L1117"/>
      <c r="M1117"/>
      <c r="N1117"/>
      <c r="O1117"/>
      <c r="P1117"/>
      <c r="Q1117"/>
      <c r="R1117"/>
      <c r="S1117"/>
    </row>
    <row r="1118" spans="7:19" x14ac:dyDescent="0.25">
      <c r="G1118"/>
      <c r="H1118"/>
      <c r="I1118"/>
      <c r="J1118"/>
      <c r="L1118"/>
      <c r="M1118"/>
      <c r="N1118"/>
      <c r="O1118"/>
      <c r="P1118"/>
      <c r="Q1118"/>
      <c r="R1118"/>
      <c r="S1118"/>
    </row>
    <row r="1119" spans="7:19" x14ac:dyDescent="0.25">
      <c r="G1119"/>
      <c r="H1119"/>
      <c r="I1119"/>
      <c r="J1119"/>
      <c r="L1119"/>
      <c r="M1119"/>
      <c r="N1119"/>
      <c r="O1119"/>
      <c r="P1119"/>
      <c r="Q1119"/>
      <c r="R1119"/>
      <c r="S1119"/>
    </row>
    <row r="1120" spans="7:19" x14ac:dyDescent="0.25">
      <c r="G1120"/>
      <c r="H1120"/>
      <c r="I1120"/>
      <c r="J1120"/>
      <c r="L1120"/>
      <c r="M1120"/>
      <c r="N1120"/>
      <c r="O1120"/>
      <c r="P1120"/>
      <c r="Q1120"/>
      <c r="R1120"/>
      <c r="S1120"/>
    </row>
    <row r="1121" spans="7:19" x14ac:dyDescent="0.25">
      <c r="G1121"/>
      <c r="H1121"/>
      <c r="I1121"/>
      <c r="J1121"/>
      <c r="L1121"/>
      <c r="M1121"/>
      <c r="N1121"/>
      <c r="O1121"/>
      <c r="P1121"/>
      <c r="Q1121"/>
      <c r="R1121"/>
      <c r="S1121"/>
    </row>
    <row r="1122" spans="7:19" x14ac:dyDescent="0.25">
      <c r="G1122"/>
      <c r="H1122"/>
      <c r="I1122"/>
      <c r="J1122"/>
      <c r="L1122"/>
      <c r="M1122"/>
      <c r="N1122"/>
      <c r="O1122"/>
      <c r="P1122"/>
      <c r="Q1122"/>
      <c r="R1122"/>
      <c r="S1122"/>
    </row>
    <row r="1123" spans="7:19" x14ac:dyDescent="0.25">
      <c r="G1123"/>
      <c r="H1123"/>
      <c r="I1123"/>
      <c r="J1123"/>
      <c r="L1123"/>
      <c r="M1123"/>
      <c r="N1123"/>
      <c r="O1123"/>
      <c r="P1123"/>
      <c r="Q1123"/>
      <c r="R1123"/>
      <c r="S1123"/>
    </row>
    <row r="1124" spans="7:19" x14ac:dyDescent="0.25">
      <c r="G1124"/>
      <c r="H1124"/>
      <c r="I1124"/>
      <c r="J1124"/>
      <c r="L1124"/>
      <c r="M1124"/>
      <c r="N1124"/>
      <c r="O1124"/>
      <c r="P1124"/>
      <c r="Q1124"/>
      <c r="R1124"/>
      <c r="S1124"/>
    </row>
    <row r="1125" spans="7:19" x14ac:dyDescent="0.25">
      <c r="G1125"/>
      <c r="H1125"/>
      <c r="I1125"/>
      <c r="J1125"/>
      <c r="L1125"/>
      <c r="M1125"/>
      <c r="N1125"/>
      <c r="O1125"/>
      <c r="P1125"/>
      <c r="Q1125"/>
      <c r="R1125"/>
      <c r="S1125"/>
    </row>
    <row r="1126" spans="7:19" x14ac:dyDescent="0.25">
      <c r="G1126"/>
      <c r="H1126"/>
      <c r="I1126"/>
      <c r="J1126"/>
      <c r="L1126"/>
      <c r="M1126"/>
      <c r="N1126"/>
      <c r="O1126"/>
      <c r="P1126"/>
      <c r="Q1126"/>
      <c r="R1126"/>
      <c r="S1126"/>
    </row>
    <row r="1127" spans="7:19" x14ac:dyDescent="0.25">
      <c r="G1127"/>
      <c r="H1127"/>
      <c r="I1127"/>
      <c r="J1127"/>
      <c r="L1127"/>
      <c r="M1127"/>
      <c r="N1127"/>
      <c r="O1127"/>
      <c r="P1127"/>
      <c r="Q1127"/>
      <c r="R1127"/>
      <c r="S1127"/>
    </row>
    <row r="1128" spans="7:19" x14ac:dyDescent="0.25">
      <c r="G1128"/>
      <c r="H1128"/>
      <c r="I1128"/>
      <c r="J1128"/>
      <c r="L1128"/>
      <c r="M1128"/>
      <c r="N1128"/>
      <c r="O1128"/>
      <c r="P1128"/>
      <c r="Q1128"/>
      <c r="R1128"/>
      <c r="S1128"/>
    </row>
    <row r="1129" spans="7:19" x14ac:dyDescent="0.25">
      <c r="G1129"/>
      <c r="H1129"/>
      <c r="I1129"/>
      <c r="J1129"/>
      <c r="L1129"/>
      <c r="M1129"/>
      <c r="N1129"/>
      <c r="O1129"/>
      <c r="P1129"/>
      <c r="Q1129"/>
      <c r="R1129"/>
      <c r="S1129"/>
    </row>
    <row r="1130" spans="7:19" x14ac:dyDescent="0.25">
      <c r="G1130"/>
      <c r="H1130"/>
      <c r="I1130"/>
      <c r="J1130"/>
      <c r="L1130"/>
      <c r="M1130"/>
      <c r="N1130"/>
      <c r="O1130"/>
      <c r="P1130"/>
      <c r="Q1130"/>
      <c r="R1130"/>
      <c r="S1130"/>
    </row>
    <row r="1131" spans="7:19" x14ac:dyDescent="0.25">
      <c r="G1131"/>
      <c r="H1131"/>
      <c r="I1131"/>
      <c r="J1131"/>
      <c r="L1131"/>
      <c r="M1131"/>
      <c r="N1131"/>
      <c r="O1131"/>
      <c r="P1131"/>
      <c r="Q1131"/>
      <c r="R1131"/>
      <c r="S1131"/>
    </row>
    <row r="1132" spans="7:19" x14ac:dyDescent="0.25">
      <c r="G1132"/>
      <c r="H1132"/>
      <c r="I1132"/>
      <c r="J1132"/>
      <c r="L1132"/>
      <c r="M1132"/>
      <c r="N1132"/>
      <c r="O1132"/>
      <c r="P1132"/>
      <c r="Q1132"/>
      <c r="R1132"/>
      <c r="S1132"/>
    </row>
    <row r="1133" spans="7:19" x14ac:dyDescent="0.25">
      <c r="G1133"/>
      <c r="H1133"/>
      <c r="I1133"/>
      <c r="J1133"/>
      <c r="L1133"/>
      <c r="M1133"/>
      <c r="N1133"/>
      <c r="O1133"/>
      <c r="P1133"/>
      <c r="Q1133"/>
      <c r="R1133"/>
      <c r="S1133"/>
    </row>
    <row r="1134" spans="7:19" x14ac:dyDescent="0.25">
      <c r="G1134"/>
      <c r="H1134"/>
      <c r="I1134"/>
      <c r="J1134"/>
      <c r="L1134"/>
      <c r="M1134"/>
      <c r="N1134"/>
      <c r="O1134"/>
      <c r="P1134"/>
      <c r="Q1134"/>
      <c r="R1134"/>
      <c r="S1134"/>
    </row>
    <row r="1135" spans="7:19" x14ac:dyDescent="0.25">
      <c r="G1135"/>
      <c r="H1135"/>
      <c r="I1135"/>
      <c r="J1135"/>
      <c r="L1135"/>
      <c r="M1135"/>
      <c r="N1135"/>
      <c r="O1135"/>
      <c r="P1135"/>
      <c r="Q1135"/>
      <c r="R1135"/>
      <c r="S1135"/>
    </row>
    <row r="1136" spans="7:19" x14ac:dyDescent="0.25">
      <c r="G1136"/>
      <c r="H1136"/>
      <c r="I1136"/>
      <c r="J1136"/>
      <c r="L1136"/>
      <c r="M1136"/>
      <c r="N1136"/>
      <c r="O1136"/>
      <c r="P1136"/>
      <c r="Q1136"/>
      <c r="R1136"/>
      <c r="S1136"/>
    </row>
    <row r="1137" spans="7:19" x14ac:dyDescent="0.25">
      <c r="G1137"/>
      <c r="H1137"/>
      <c r="I1137"/>
      <c r="J1137"/>
      <c r="L1137"/>
      <c r="M1137"/>
      <c r="N1137"/>
      <c r="O1137"/>
      <c r="P1137"/>
      <c r="Q1137"/>
      <c r="R1137"/>
      <c r="S1137"/>
    </row>
    <row r="1138" spans="7:19" x14ac:dyDescent="0.25">
      <c r="G1138"/>
      <c r="H1138"/>
      <c r="I1138"/>
      <c r="J1138"/>
      <c r="L1138"/>
      <c r="M1138"/>
      <c r="N1138"/>
      <c r="O1138"/>
      <c r="P1138"/>
      <c r="Q1138"/>
      <c r="R1138"/>
      <c r="S1138"/>
    </row>
    <row r="1139" spans="7:19" x14ac:dyDescent="0.25">
      <c r="G1139"/>
      <c r="H1139"/>
      <c r="I1139"/>
      <c r="J1139"/>
      <c r="L1139"/>
      <c r="M1139"/>
      <c r="N1139"/>
      <c r="O1139"/>
      <c r="P1139"/>
      <c r="Q1139"/>
      <c r="R1139"/>
      <c r="S1139"/>
    </row>
    <row r="1140" spans="7:19" x14ac:dyDescent="0.25">
      <c r="G1140"/>
      <c r="H1140"/>
      <c r="I1140"/>
      <c r="J1140"/>
      <c r="L1140"/>
      <c r="M1140"/>
      <c r="N1140"/>
      <c r="O1140"/>
      <c r="P1140"/>
      <c r="Q1140"/>
      <c r="R1140"/>
      <c r="S1140"/>
    </row>
    <row r="1141" spans="7:19" x14ac:dyDescent="0.25">
      <c r="G1141"/>
      <c r="H1141"/>
      <c r="I1141"/>
      <c r="J1141"/>
      <c r="L1141"/>
      <c r="M1141"/>
      <c r="N1141"/>
      <c r="O1141"/>
      <c r="P1141"/>
      <c r="Q1141"/>
      <c r="R1141"/>
      <c r="S1141"/>
    </row>
    <row r="1142" spans="7:19" x14ac:dyDescent="0.25">
      <c r="G1142"/>
      <c r="H1142"/>
      <c r="I1142"/>
      <c r="J1142"/>
      <c r="L1142"/>
      <c r="M1142"/>
      <c r="N1142"/>
      <c r="O1142"/>
      <c r="P1142"/>
      <c r="Q1142"/>
      <c r="R1142"/>
      <c r="S1142"/>
    </row>
    <row r="1143" spans="7:19" x14ac:dyDescent="0.25">
      <c r="G1143"/>
      <c r="H1143"/>
      <c r="I1143"/>
      <c r="J1143"/>
      <c r="L1143"/>
      <c r="M1143"/>
      <c r="N1143"/>
      <c r="O1143"/>
      <c r="P1143"/>
      <c r="Q1143"/>
      <c r="R1143"/>
      <c r="S1143"/>
    </row>
    <row r="1144" spans="7:19" x14ac:dyDescent="0.25">
      <c r="G1144"/>
      <c r="H1144"/>
      <c r="I1144"/>
      <c r="J1144"/>
      <c r="L1144"/>
      <c r="M1144"/>
      <c r="N1144"/>
      <c r="O1144"/>
      <c r="P1144"/>
      <c r="Q1144"/>
      <c r="R1144"/>
      <c r="S1144"/>
    </row>
    <row r="1145" spans="7:19" x14ac:dyDescent="0.25">
      <c r="G1145"/>
      <c r="H1145"/>
      <c r="I1145"/>
      <c r="J1145"/>
      <c r="L1145"/>
      <c r="M1145"/>
      <c r="N1145"/>
      <c r="O1145"/>
      <c r="P1145"/>
      <c r="Q1145"/>
      <c r="R1145"/>
      <c r="S1145"/>
    </row>
    <row r="1146" spans="7:19" x14ac:dyDescent="0.25">
      <c r="G1146"/>
      <c r="H1146"/>
      <c r="I1146"/>
      <c r="J1146"/>
      <c r="L1146"/>
      <c r="M1146"/>
      <c r="N1146"/>
      <c r="O1146"/>
      <c r="P1146"/>
      <c r="Q1146"/>
      <c r="R1146"/>
      <c r="S1146"/>
    </row>
    <row r="1147" spans="7:19" x14ac:dyDescent="0.25">
      <c r="G1147"/>
      <c r="H1147"/>
      <c r="I1147"/>
      <c r="J1147"/>
      <c r="L1147"/>
      <c r="M1147"/>
      <c r="N1147"/>
      <c r="O1147"/>
      <c r="P1147"/>
      <c r="Q1147"/>
      <c r="R1147"/>
      <c r="S1147"/>
    </row>
    <row r="1148" spans="7:19" x14ac:dyDescent="0.25">
      <c r="G1148"/>
      <c r="H1148"/>
      <c r="I1148"/>
      <c r="J1148"/>
      <c r="L1148"/>
      <c r="M1148"/>
      <c r="N1148"/>
      <c r="O1148"/>
      <c r="P1148"/>
      <c r="Q1148"/>
      <c r="R1148"/>
      <c r="S1148"/>
    </row>
    <row r="1149" spans="7:19" x14ac:dyDescent="0.25">
      <c r="G1149"/>
      <c r="H1149"/>
      <c r="I1149"/>
      <c r="J1149"/>
      <c r="L1149"/>
      <c r="M1149"/>
      <c r="N1149"/>
      <c r="O1149"/>
      <c r="P1149"/>
      <c r="Q1149"/>
      <c r="R1149"/>
      <c r="S1149"/>
    </row>
    <row r="1150" spans="7:19" x14ac:dyDescent="0.25">
      <c r="G1150"/>
      <c r="H1150"/>
      <c r="I1150"/>
      <c r="J1150"/>
      <c r="L1150"/>
      <c r="M1150"/>
      <c r="N1150"/>
      <c r="O1150"/>
      <c r="P1150"/>
      <c r="Q1150"/>
      <c r="R1150"/>
      <c r="S1150"/>
    </row>
    <row r="1151" spans="7:19" x14ac:dyDescent="0.25">
      <c r="G1151"/>
      <c r="H1151"/>
      <c r="I1151"/>
      <c r="J1151"/>
      <c r="L1151"/>
      <c r="M1151"/>
      <c r="N1151"/>
      <c r="O1151"/>
      <c r="P1151"/>
      <c r="Q1151"/>
      <c r="R1151"/>
      <c r="S1151"/>
    </row>
    <row r="1152" spans="7:19" x14ac:dyDescent="0.25">
      <c r="G1152"/>
      <c r="H1152"/>
      <c r="I1152"/>
      <c r="J1152"/>
      <c r="L1152"/>
      <c r="M1152"/>
      <c r="N1152"/>
      <c r="O1152"/>
      <c r="P1152"/>
      <c r="Q1152"/>
      <c r="R1152"/>
      <c r="S1152"/>
    </row>
    <row r="1153" spans="7:19" x14ac:dyDescent="0.25">
      <c r="G1153"/>
      <c r="H1153"/>
      <c r="I1153"/>
      <c r="J1153"/>
      <c r="L1153"/>
      <c r="M1153"/>
      <c r="N1153"/>
      <c r="O1153"/>
      <c r="P1153"/>
      <c r="Q1153"/>
      <c r="R1153"/>
      <c r="S1153"/>
    </row>
    <row r="1154" spans="7:19" x14ac:dyDescent="0.25">
      <c r="G1154"/>
      <c r="H1154"/>
      <c r="I1154"/>
      <c r="J1154"/>
      <c r="L1154"/>
      <c r="M1154"/>
      <c r="N1154"/>
      <c r="O1154"/>
      <c r="P1154"/>
      <c r="Q1154"/>
      <c r="R1154"/>
      <c r="S1154"/>
    </row>
    <row r="1155" spans="7:19" x14ac:dyDescent="0.25">
      <c r="G1155"/>
      <c r="H1155"/>
      <c r="I1155"/>
      <c r="J1155"/>
      <c r="L1155"/>
      <c r="M1155"/>
      <c r="N1155"/>
      <c r="O1155"/>
      <c r="P1155"/>
      <c r="Q1155"/>
      <c r="R1155"/>
      <c r="S1155"/>
    </row>
    <row r="1156" spans="7:19" x14ac:dyDescent="0.25">
      <c r="G1156"/>
      <c r="H1156"/>
      <c r="I1156"/>
      <c r="J1156"/>
      <c r="L1156"/>
      <c r="M1156"/>
      <c r="N1156"/>
      <c r="O1156"/>
      <c r="P1156"/>
      <c r="Q1156"/>
      <c r="R1156"/>
      <c r="S1156"/>
    </row>
    <row r="1157" spans="7:19" x14ac:dyDescent="0.25">
      <c r="G1157"/>
      <c r="H1157"/>
      <c r="I1157"/>
      <c r="J1157"/>
      <c r="L1157"/>
      <c r="M1157"/>
      <c r="N1157"/>
      <c r="O1157"/>
      <c r="P1157"/>
      <c r="Q1157"/>
      <c r="R1157"/>
      <c r="S1157"/>
    </row>
    <row r="1158" spans="7:19" x14ac:dyDescent="0.25">
      <c r="G1158"/>
      <c r="H1158"/>
      <c r="I1158"/>
      <c r="J1158"/>
      <c r="L1158"/>
      <c r="M1158"/>
      <c r="N1158"/>
      <c r="O1158"/>
      <c r="P1158"/>
      <c r="Q1158"/>
      <c r="R1158"/>
      <c r="S1158"/>
    </row>
    <row r="1159" spans="7:19" x14ac:dyDescent="0.25">
      <c r="G1159"/>
      <c r="H1159"/>
      <c r="I1159"/>
      <c r="J1159"/>
      <c r="L1159"/>
      <c r="M1159"/>
      <c r="N1159"/>
      <c r="O1159"/>
      <c r="P1159"/>
      <c r="Q1159"/>
      <c r="R1159"/>
      <c r="S1159"/>
    </row>
    <row r="1160" spans="7:19" x14ac:dyDescent="0.25">
      <c r="G1160"/>
      <c r="H1160"/>
      <c r="I1160"/>
      <c r="J1160"/>
      <c r="L1160"/>
      <c r="M1160"/>
      <c r="N1160"/>
      <c r="O1160"/>
      <c r="P1160"/>
      <c r="Q1160"/>
      <c r="R1160"/>
      <c r="S1160"/>
    </row>
    <row r="1161" spans="7:19" x14ac:dyDescent="0.25">
      <c r="G1161"/>
      <c r="H1161"/>
      <c r="I1161"/>
      <c r="J1161"/>
      <c r="L1161"/>
      <c r="M1161"/>
      <c r="N1161"/>
      <c r="O1161"/>
      <c r="P1161"/>
      <c r="Q1161"/>
      <c r="R1161"/>
      <c r="S1161"/>
    </row>
    <row r="1162" spans="7:19" x14ac:dyDescent="0.25">
      <c r="G1162"/>
      <c r="H1162"/>
      <c r="I1162"/>
      <c r="J1162"/>
      <c r="L1162"/>
      <c r="M1162"/>
      <c r="N1162"/>
      <c r="O1162"/>
      <c r="P1162"/>
      <c r="Q1162"/>
      <c r="R1162"/>
      <c r="S1162"/>
    </row>
    <row r="1163" spans="7:19" x14ac:dyDescent="0.25">
      <c r="G1163"/>
      <c r="H1163"/>
      <c r="I1163"/>
      <c r="J1163"/>
      <c r="L1163"/>
      <c r="M1163"/>
      <c r="N1163"/>
      <c r="O1163"/>
      <c r="P1163"/>
      <c r="Q1163"/>
      <c r="R1163"/>
      <c r="S1163"/>
    </row>
    <row r="1164" spans="7:19" x14ac:dyDescent="0.25">
      <c r="G1164"/>
      <c r="H1164"/>
      <c r="I1164"/>
      <c r="J1164"/>
      <c r="L1164"/>
      <c r="M1164"/>
      <c r="N1164"/>
      <c r="O1164"/>
      <c r="P1164"/>
      <c r="Q1164"/>
      <c r="R1164"/>
      <c r="S1164"/>
    </row>
    <row r="1165" spans="7:19" x14ac:dyDescent="0.25">
      <c r="G1165"/>
      <c r="H1165"/>
      <c r="I1165"/>
      <c r="J1165"/>
      <c r="L1165"/>
      <c r="M1165"/>
      <c r="N1165"/>
      <c r="O1165"/>
      <c r="P1165"/>
      <c r="Q1165"/>
      <c r="R1165"/>
      <c r="S1165"/>
    </row>
    <row r="1166" spans="7:19" x14ac:dyDescent="0.25">
      <c r="G1166"/>
      <c r="H1166"/>
      <c r="I1166"/>
      <c r="J1166"/>
      <c r="L1166"/>
      <c r="M1166"/>
      <c r="N1166"/>
      <c r="O1166"/>
      <c r="P1166"/>
      <c r="Q1166"/>
      <c r="R1166"/>
      <c r="S1166"/>
    </row>
    <row r="1167" spans="7:19" x14ac:dyDescent="0.25">
      <c r="G1167"/>
      <c r="H1167"/>
      <c r="I1167"/>
      <c r="J1167"/>
      <c r="L1167"/>
      <c r="M1167"/>
      <c r="N1167"/>
      <c r="O1167"/>
      <c r="P1167"/>
      <c r="Q1167"/>
      <c r="R1167"/>
      <c r="S1167"/>
    </row>
    <row r="1168" spans="7:19" x14ac:dyDescent="0.25">
      <c r="G1168"/>
      <c r="H1168"/>
      <c r="I1168"/>
      <c r="J1168"/>
      <c r="L1168"/>
      <c r="M1168"/>
      <c r="N1168"/>
      <c r="O1168"/>
      <c r="P1168"/>
      <c r="Q1168"/>
      <c r="R1168"/>
      <c r="S1168"/>
    </row>
    <row r="1169" spans="7:19" x14ac:dyDescent="0.25">
      <c r="G1169"/>
      <c r="H1169"/>
      <c r="I1169"/>
      <c r="J1169"/>
      <c r="L1169"/>
      <c r="M1169"/>
      <c r="N1169"/>
      <c r="O1169"/>
      <c r="P1169"/>
      <c r="Q1169"/>
      <c r="R1169"/>
      <c r="S1169"/>
    </row>
    <row r="1170" spans="7:19" x14ac:dyDescent="0.25">
      <c r="G1170"/>
      <c r="H1170"/>
      <c r="I1170"/>
      <c r="J1170"/>
      <c r="L1170"/>
      <c r="M1170"/>
      <c r="N1170"/>
      <c r="O1170"/>
      <c r="P1170"/>
      <c r="Q1170"/>
      <c r="R1170"/>
      <c r="S1170"/>
    </row>
    <row r="1171" spans="7:19" x14ac:dyDescent="0.25">
      <c r="G1171"/>
      <c r="H1171"/>
      <c r="I1171"/>
      <c r="J1171"/>
      <c r="L1171"/>
      <c r="M1171"/>
      <c r="N1171"/>
      <c r="O1171"/>
      <c r="P1171"/>
      <c r="Q1171"/>
      <c r="R1171"/>
      <c r="S1171"/>
    </row>
    <row r="1172" spans="7:19" x14ac:dyDescent="0.25">
      <c r="G1172"/>
      <c r="H1172"/>
      <c r="I1172"/>
      <c r="J1172"/>
      <c r="L1172"/>
      <c r="M1172"/>
      <c r="N1172"/>
      <c r="O1172"/>
      <c r="P1172"/>
      <c r="Q1172"/>
      <c r="R1172"/>
      <c r="S1172"/>
    </row>
    <row r="1173" spans="7:19" x14ac:dyDescent="0.25">
      <c r="G1173"/>
      <c r="H1173"/>
      <c r="I1173"/>
      <c r="J1173"/>
      <c r="L1173"/>
      <c r="M1173"/>
      <c r="N1173"/>
      <c r="O1173"/>
      <c r="P1173"/>
      <c r="Q1173"/>
      <c r="R1173"/>
      <c r="S1173"/>
    </row>
    <row r="1174" spans="7:19" x14ac:dyDescent="0.25">
      <c r="G1174"/>
      <c r="H1174"/>
      <c r="I1174"/>
      <c r="J1174"/>
      <c r="L1174"/>
      <c r="M1174"/>
      <c r="N1174"/>
      <c r="O1174"/>
      <c r="P1174"/>
      <c r="Q1174"/>
      <c r="R1174"/>
      <c r="S1174"/>
    </row>
    <row r="1175" spans="7:19" x14ac:dyDescent="0.25">
      <c r="G1175"/>
      <c r="H1175"/>
      <c r="I1175"/>
      <c r="J1175"/>
      <c r="L1175"/>
      <c r="M1175"/>
      <c r="N1175"/>
      <c r="O1175"/>
      <c r="P1175"/>
      <c r="Q1175"/>
      <c r="R1175"/>
      <c r="S1175"/>
    </row>
    <row r="1176" spans="7:19" x14ac:dyDescent="0.25">
      <c r="G1176"/>
      <c r="H1176"/>
      <c r="I1176"/>
      <c r="J1176"/>
      <c r="L1176"/>
      <c r="M1176"/>
      <c r="N1176"/>
      <c r="O1176"/>
      <c r="P1176"/>
      <c r="Q1176"/>
      <c r="R1176"/>
      <c r="S1176"/>
    </row>
    <row r="1177" spans="7:19" x14ac:dyDescent="0.25">
      <c r="G1177"/>
      <c r="H1177"/>
      <c r="I1177"/>
      <c r="J1177"/>
      <c r="L1177"/>
      <c r="M1177"/>
      <c r="N1177"/>
      <c r="O1177"/>
      <c r="P1177"/>
      <c r="Q1177"/>
      <c r="R1177"/>
      <c r="S1177"/>
    </row>
    <row r="1178" spans="7:19" x14ac:dyDescent="0.25">
      <c r="G1178"/>
      <c r="H1178"/>
      <c r="I1178"/>
      <c r="J1178"/>
      <c r="L1178"/>
      <c r="M1178"/>
      <c r="N1178"/>
      <c r="O1178"/>
      <c r="P1178"/>
      <c r="Q1178"/>
      <c r="R1178"/>
      <c r="S1178"/>
    </row>
    <row r="1179" spans="7:19" x14ac:dyDescent="0.25">
      <c r="G1179"/>
      <c r="H1179"/>
      <c r="I1179"/>
      <c r="J1179"/>
      <c r="L1179"/>
      <c r="M1179"/>
      <c r="N1179"/>
      <c r="O1179"/>
      <c r="P1179"/>
      <c r="Q1179"/>
      <c r="R1179"/>
      <c r="S1179"/>
    </row>
    <row r="1180" spans="7:19" x14ac:dyDescent="0.25">
      <c r="G1180"/>
      <c r="H1180"/>
      <c r="I1180"/>
      <c r="J1180"/>
      <c r="L1180"/>
      <c r="M1180"/>
      <c r="N1180"/>
      <c r="O1180"/>
      <c r="P1180"/>
      <c r="Q1180"/>
      <c r="R1180"/>
      <c r="S1180"/>
    </row>
    <row r="1181" spans="7:19" x14ac:dyDescent="0.25">
      <c r="G1181"/>
      <c r="H1181"/>
      <c r="I1181"/>
      <c r="J1181"/>
      <c r="L1181"/>
      <c r="M1181"/>
      <c r="N1181"/>
      <c r="O1181"/>
      <c r="P1181"/>
      <c r="Q1181"/>
      <c r="R1181"/>
      <c r="S1181"/>
    </row>
    <row r="1182" spans="7:19" x14ac:dyDescent="0.25">
      <c r="G1182"/>
      <c r="H1182"/>
      <c r="I1182"/>
      <c r="J1182"/>
      <c r="L1182"/>
      <c r="M1182"/>
      <c r="N1182"/>
      <c r="O1182"/>
      <c r="P1182"/>
      <c r="Q1182"/>
      <c r="R1182"/>
      <c r="S1182"/>
    </row>
    <row r="1183" spans="7:19" x14ac:dyDescent="0.25">
      <c r="G1183"/>
      <c r="H1183"/>
      <c r="I1183"/>
      <c r="J1183"/>
      <c r="L1183"/>
      <c r="M1183"/>
      <c r="N1183"/>
      <c r="O1183"/>
      <c r="P1183"/>
      <c r="Q1183"/>
      <c r="R1183"/>
      <c r="S1183"/>
    </row>
    <row r="1184" spans="7:19" x14ac:dyDescent="0.25">
      <c r="G1184"/>
      <c r="H1184"/>
      <c r="I1184"/>
      <c r="J1184"/>
      <c r="L1184"/>
      <c r="M1184"/>
      <c r="N1184"/>
      <c r="O1184"/>
      <c r="P1184"/>
      <c r="Q1184"/>
      <c r="R1184"/>
      <c r="S1184"/>
    </row>
    <row r="1185" spans="7:19" x14ac:dyDescent="0.25">
      <c r="G1185"/>
      <c r="H1185"/>
      <c r="I1185"/>
      <c r="J1185"/>
      <c r="L1185"/>
      <c r="M1185"/>
      <c r="N1185"/>
      <c r="O1185"/>
      <c r="P1185"/>
      <c r="Q1185"/>
      <c r="R1185"/>
      <c r="S1185"/>
    </row>
    <row r="1186" spans="7:19" x14ac:dyDescent="0.25">
      <c r="G1186"/>
      <c r="H1186"/>
      <c r="I1186"/>
      <c r="J1186"/>
      <c r="L1186"/>
      <c r="M1186"/>
      <c r="N1186"/>
      <c r="O1186"/>
      <c r="P1186"/>
      <c r="Q1186"/>
      <c r="R1186"/>
      <c r="S1186"/>
    </row>
    <row r="1187" spans="7:19" x14ac:dyDescent="0.25">
      <c r="G1187"/>
      <c r="H1187"/>
      <c r="I1187"/>
      <c r="J1187"/>
      <c r="L1187"/>
      <c r="M1187"/>
      <c r="N1187"/>
      <c r="O1187"/>
      <c r="P1187"/>
      <c r="Q1187"/>
      <c r="R1187"/>
      <c r="S1187"/>
    </row>
    <row r="1188" spans="7:19" x14ac:dyDescent="0.25">
      <c r="G1188"/>
      <c r="H1188"/>
      <c r="I1188"/>
      <c r="J1188"/>
      <c r="L1188"/>
      <c r="M1188"/>
      <c r="N1188"/>
      <c r="O1188"/>
      <c r="P1188"/>
      <c r="Q1188"/>
      <c r="R1188"/>
      <c r="S1188"/>
    </row>
    <row r="1189" spans="7:19" x14ac:dyDescent="0.25">
      <c r="G1189"/>
      <c r="H1189"/>
      <c r="I1189"/>
      <c r="J1189"/>
      <c r="L1189"/>
      <c r="M1189"/>
      <c r="N1189"/>
      <c r="O1189"/>
      <c r="P1189"/>
      <c r="Q1189"/>
      <c r="R1189"/>
      <c r="S1189"/>
    </row>
    <row r="1190" spans="7:19" x14ac:dyDescent="0.25">
      <c r="G1190"/>
      <c r="H1190"/>
      <c r="I1190"/>
      <c r="J1190"/>
      <c r="L1190"/>
      <c r="M1190"/>
      <c r="N1190"/>
      <c r="O1190"/>
      <c r="P1190"/>
      <c r="Q1190"/>
      <c r="R1190"/>
      <c r="S1190"/>
    </row>
    <row r="1191" spans="7:19" x14ac:dyDescent="0.25">
      <c r="G1191"/>
      <c r="H1191"/>
      <c r="I1191"/>
      <c r="J1191"/>
      <c r="L1191"/>
      <c r="M1191"/>
      <c r="N1191"/>
      <c r="O1191"/>
      <c r="P1191"/>
      <c r="Q1191"/>
      <c r="R1191"/>
      <c r="S1191"/>
    </row>
    <row r="1192" spans="7:19" x14ac:dyDescent="0.25">
      <c r="G1192"/>
      <c r="H1192"/>
      <c r="I1192"/>
      <c r="J1192"/>
      <c r="L1192"/>
      <c r="M1192"/>
      <c r="N1192"/>
      <c r="O1192"/>
      <c r="P1192"/>
      <c r="Q1192"/>
      <c r="R1192"/>
      <c r="S1192"/>
    </row>
    <row r="1193" spans="7:19" x14ac:dyDescent="0.25">
      <c r="G1193"/>
      <c r="H1193"/>
      <c r="I1193"/>
      <c r="J1193"/>
      <c r="L1193"/>
      <c r="M1193"/>
      <c r="N1193"/>
      <c r="O1193"/>
      <c r="P1193"/>
      <c r="Q1193"/>
      <c r="R1193"/>
      <c r="S1193"/>
    </row>
    <row r="1194" spans="7:19" x14ac:dyDescent="0.25">
      <c r="G1194"/>
      <c r="H1194"/>
      <c r="I1194"/>
      <c r="J1194"/>
      <c r="L1194"/>
      <c r="M1194"/>
      <c r="N1194"/>
      <c r="O1194"/>
      <c r="P1194"/>
      <c r="Q1194"/>
      <c r="R1194"/>
      <c r="S1194"/>
    </row>
    <row r="1195" spans="7:19" x14ac:dyDescent="0.25">
      <c r="G1195"/>
      <c r="H1195"/>
      <c r="I1195"/>
      <c r="J1195"/>
      <c r="L1195"/>
      <c r="M1195"/>
      <c r="N1195"/>
      <c r="O1195"/>
      <c r="P1195"/>
      <c r="Q1195"/>
      <c r="R1195"/>
      <c r="S1195"/>
    </row>
    <row r="1196" spans="7:19" x14ac:dyDescent="0.25">
      <c r="G1196"/>
      <c r="H1196"/>
      <c r="I1196"/>
      <c r="J1196"/>
      <c r="L1196"/>
      <c r="M1196"/>
      <c r="N1196"/>
      <c r="O1196"/>
      <c r="P1196"/>
      <c r="Q1196"/>
      <c r="R1196"/>
      <c r="S1196"/>
    </row>
    <row r="1197" spans="7:19" x14ac:dyDescent="0.25">
      <c r="G1197"/>
      <c r="H1197"/>
      <c r="I1197"/>
      <c r="J1197"/>
      <c r="L1197"/>
      <c r="M1197"/>
      <c r="N1197"/>
      <c r="O1197"/>
      <c r="P1197"/>
      <c r="Q1197"/>
      <c r="R1197"/>
      <c r="S1197"/>
    </row>
    <row r="1198" spans="7:19" x14ac:dyDescent="0.25">
      <c r="G1198"/>
      <c r="H1198"/>
      <c r="I1198"/>
      <c r="J1198"/>
      <c r="L1198"/>
      <c r="M1198"/>
      <c r="N1198"/>
      <c r="O1198"/>
      <c r="P1198"/>
      <c r="Q1198"/>
      <c r="R1198"/>
      <c r="S1198"/>
    </row>
    <row r="1199" spans="7:19" x14ac:dyDescent="0.25">
      <c r="G1199"/>
      <c r="H1199"/>
      <c r="I1199"/>
      <c r="J1199"/>
      <c r="L1199"/>
      <c r="M1199"/>
      <c r="N1199"/>
      <c r="O1199"/>
      <c r="P1199"/>
      <c r="Q1199"/>
      <c r="R1199"/>
      <c r="S1199"/>
    </row>
    <row r="1200" spans="7:19" x14ac:dyDescent="0.25">
      <c r="G1200"/>
      <c r="H1200"/>
      <c r="I1200"/>
      <c r="J1200"/>
      <c r="L1200"/>
      <c r="M1200"/>
      <c r="N1200"/>
      <c r="O1200"/>
      <c r="P1200"/>
      <c r="Q1200"/>
      <c r="R1200"/>
      <c r="S1200"/>
    </row>
    <row r="1201" spans="7:19" x14ac:dyDescent="0.25">
      <c r="G1201"/>
      <c r="H1201"/>
      <c r="I1201"/>
      <c r="J1201"/>
      <c r="L1201"/>
      <c r="M1201"/>
      <c r="N1201"/>
      <c r="O1201"/>
      <c r="P1201"/>
      <c r="Q1201"/>
      <c r="R1201"/>
      <c r="S1201"/>
    </row>
    <row r="1202" spans="7:19" x14ac:dyDescent="0.25">
      <c r="G1202"/>
      <c r="H1202"/>
      <c r="I1202"/>
      <c r="J1202"/>
      <c r="L1202"/>
      <c r="M1202"/>
      <c r="N1202"/>
      <c r="O1202"/>
      <c r="P1202"/>
      <c r="Q1202"/>
      <c r="R1202"/>
      <c r="S1202"/>
    </row>
    <row r="1203" spans="7:19" x14ac:dyDescent="0.25">
      <c r="G1203"/>
      <c r="H1203"/>
      <c r="I1203"/>
      <c r="J1203"/>
      <c r="L1203"/>
      <c r="M1203"/>
      <c r="N1203"/>
      <c r="O1203"/>
      <c r="P1203"/>
      <c r="Q1203"/>
      <c r="R1203"/>
      <c r="S1203"/>
    </row>
    <row r="1204" spans="7:19" x14ac:dyDescent="0.25">
      <c r="G1204"/>
      <c r="H1204"/>
      <c r="I1204"/>
      <c r="J1204"/>
      <c r="L1204"/>
      <c r="M1204"/>
      <c r="N1204"/>
      <c r="O1204"/>
      <c r="P1204"/>
      <c r="Q1204"/>
      <c r="R1204"/>
      <c r="S1204"/>
    </row>
    <row r="1205" spans="7:19" x14ac:dyDescent="0.25">
      <c r="G1205"/>
      <c r="H1205"/>
      <c r="I1205"/>
      <c r="J1205"/>
      <c r="L1205"/>
      <c r="M1205"/>
      <c r="N1205"/>
      <c r="O1205"/>
      <c r="P1205"/>
      <c r="Q1205"/>
      <c r="R1205"/>
      <c r="S1205"/>
    </row>
    <row r="1206" spans="7:19" x14ac:dyDescent="0.25">
      <c r="G1206"/>
      <c r="H1206"/>
      <c r="I1206"/>
      <c r="J1206"/>
      <c r="L1206"/>
      <c r="M1206"/>
      <c r="N1206"/>
      <c r="O1206"/>
      <c r="P1206"/>
      <c r="Q1206"/>
      <c r="R1206"/>
      <c r="S1206"/>
    </row>
    <row r="1207" spans="7:19" x14ac:dyDescent="0.25">
      <c r="G1207"/>
      <c r="H1207"/>
      <c r="I1207"/>
      <c r="J1207"/>
      <c r="L1207"/>
      <c r="M1207"/>
      <c r="N1207"/>
      <c r="O1207"/>
      <c r="P1207"/>
      <c r="Q1207"/>
      <c r="R1207"/>
      <c r="S1207"/>
    </row>
    <row r="1208" spans="7:19" x14ac:dyDescent="0.25">
      <c r="G1208"/>
      <c r="H1208"/>
      <c r="I1208"/>
      <c r="J1208"/>
      <c r="L1208"/>
      <c r="M1208"/>
      <c r="N1208"/>
      <c r="O1208"/>
      <c r="P1208"/>
      <c r="Q1208"/>
      <c r="R1208"/>
      <c r="S1208"/>
    </row>
    <row r="1209" spans="7:19" x14ac:dyDescent="0.25">
      <c r="G1209"/>
      <c r="H1209"/>
      <c r="I1209"/>
      <c r="J1209"/>
      <c r="L1209"/>
      <c r="M1209"/>
      <c r="N1209"/>
      <c r="O1209"/>
      <c r="P1209"/>
      <c r="Q1209"/>
      <c r="R1209"/>
      <c r="S1209"/>
    </row>
    <row r="1210" spans="7:19" x14ac:dyDescent="0.25">
      <c r="G1210"/>
      <c r="H1210"/>
      <c r="I1210"/>
      <c r="J1210"/>
      <c r="L1210"/>
      <c r="M1210"/>
      <c r="N1210"/>
      <c r="O1210"/>
      <c r="P1210"/>
      <c r="Q1210"/>
      <c r="R1210"/>
      <c r="S1210"/>
    </row>
    <row r="1211" spans="7:19" x14ac:dyDescent="0.25">
      <c r="G1211"/>
      <c r="H1211"/>
      <c r="I1211"/>
      <c r="J1211"/>
      <c r="L1211"/>
      <c r="M1211"/>
      <c r="N1211"/>
      <c r="O1211"/>
      <c r="P1211"/>
      <c r="Q1211"/>
      <c r="R1211"/>
      <c r="S1211"/>
    </row>
    <row r="1212" spans="7:19" x14ac:dyDescent="0.25">
      <c r="G1212"/>
      <c r="H1212"/>
      <c r="I1212"/>
      <c r="J1212"/>
      <c r="L1212"/>
      <c r="M1212"/>
      <c r="N1212"/>
      <c r="O1212"/>
      <c r="P1212"/>
      <c r="Q1212"/>
      <c r="R1212"/>
      <c r="S1212"/>
    </row>
    <row r="1213" spans="7:19" x14ac:dyDescent="0.25">
      <c r="G1213"/>
      <c r="H1213"/>
      <c r="I1213"/>
      <c r="J1213"/>
      <c r="L1213"/>
      <c r="M1213"/>
      <c r="N1213"/>
      <c r="O1213"/>
      <c r="P1213"/>
      <c r="Q1213"/>
      <c r="R1213"/>
      <c r="S1213"/>
    </row>
    <row r="1214" spans="7:19" x14ac:dyDescent="0.25">
      <c r="G1214"/>
      <c r="H1214"/>
      <c r="I1214"/>
      <c r="J1214"/>
      <c r="L1214"/>
      <c r="M1214"/>
      <c r="N1214"/>
      <c r="O1214"/>
      <c r="P1214"/>
      <c r="Q1214"/>
      <c r="R1214"/>
      <c r="S1214"/>
    </row>
    <row r="1215" spans="7:19" x14ac:dyDescent="0.25">
      <c r="G1215"/>
      <c r="H1215"/>
      <c r="I1215"/>
      <c r="J1215"/>
      <c r="L1215"/>
      <c r="M1215"/>
      <c r="N1215"/>
      <c r="O1215"/>
      <c r="P1215"/>
      <c r="Q1215"/>
      <c r="R1215"/>
      <c r="S1215"/>
    </row>
    <row r="1216" spans="7:19" x14ac:dyDescent="0.25">
      <c r="G1216"/>
      <c r="H1216"/>
      <c r="I1216"/>
      <c r="J1216"/>
      <c r="L1216"/>
      <c r="M1216"/>
      <c r="N1216"/>
      <c r="O1216"/>
      <c r="P1216"/>
      <c r="Q1216"/>
      <c r="R1216"/>
      <c r="S1216"/>
    </row>
    <row r="1217" spans="7:19" x14ac:dyDescent="0.25">
      <c r="G1217"/>
      <c r="H1217"/>
      <c r="I1217"/>
      <c r="J1217"/>
      <c r="L1217"/>
      <c r="M1217"/>
      <c r="N1217"/>
      <c r="O1217"/>
      <c r="P1217"/>
      <c r="Q1217"/>
      <c r="R1217"/>
      <c r="S1217"/>
    </row>
    <row r="1218" spans="7:19" x14ac:dyDescent="0.25">
      <c r="G1218"/>
      <c r="H1218"/>
      <c r="I1218"/>
      <c r="J1218"/>
      <c r="L1218"/>
      <c r="M1218"/>
      <c r="N1218"/>
      <c r="O1218"/>
      <c r="P1218"/>
      <c r="Q1218"/>
      <c r="R1218"/>
      <c r="S1218"/>
    </row>
    <row r="1219" spans="7:19" x14ac:dyDescent="0.25">
      <c r="G1219"/>
      <c r="H1219"/>
      <c r="I1219"/>
      <c r="J1219"/>
      <c r="L1219"/>
      <c r="M1219"/>
      <c r="N1219"/>
      <c r="O1219"/>
      <c r="P1219"/>
      <c r="Q1219"/>
      <c r="R1219"/>
      <c r="S1219"/>
    </row>
    <row r="1220" spans="7:19" x14ac:dyDescent="0.25">
      <c r="G1220"/>
      <c r="H1220"/>
      <c r="I1220"/>
      <c r="J1220"/>
      <c r="L1220"/>
      <c r="M1220"/>
      <c r="N1220"/>
      <c r="O1220"/>
      <c r="P1220"/>
      <c r="Q1220"/>
      <c r="R1220"/>
      <c r="S1220"/>
    </row>
    <row r="1221" spans="7:19" x14ac:dyDescent="0.25">
      <c r="G1221"/>
      <c r="H1221"/>
      <c r="I1221"/>
      <c r="J1221"/>
      <c r="L1221"/>
      <c r="M1221"/>
      <c r="N1221"/>
      <c r="O1221"/>
      <c r="P1221"/>
      <c r="Q1221"/>
      <c r="R1221"/>
      <c r="S1221"/>
    </row>
    <row r="1222" spans="7:19" x14ac:dyDescent="0.25">
      <c r="G1222"/>
      <c r="H1222"/>
      <c r="I1222"/>
      <c r="J1222"/>
      <c r="L1222"/>
      <c r="M1222"/>
      <c r="N1222"/>
      <c r="O1222"/>
      <c r="P1222"/>
      <c r="Q1222"/>
      <c r="R1222"/>
      <c r="S1222"/>
    </row>
    <row r="1223" spans="7:19" x14ac:dyDescent="0.25">
      <c r="G1223"/>
      <c r="H1223"/>
      <c r="I1223"/>
      <c r="J1223"/>
      <c r="L1223"/>
      <c r="M1223"/>
      <c r="N1223"/>
      <c r="O1223"/>
      <c r="P1223"/>
      <c r="Q1223"/>
      <c r="R1223"/>
      <c r="S1223"/>
    </row>
    <row r="1224" spans="7:19" x14ac:dyDescent="0.25">
      <c r="G1224"/>
      <c r="H1224"/>
      <c r="I1224"/>
      <c r="J1224"/>
      <c r="L1224"/>
      <c r="M1224"/>
      <c r="N1224"/>
      <c r="O1224"/>
      <c r="P1224"/>
      <c r="Q1224"/>
      <c r="R1224"/>
      <c r="S1224"/>
    </row>
    <row r="1225" spans="7:19" x14ac:dyDescent="0.25">
      <c r="G1225"/>
      <c r="H1225"/>
      <c r="I1225"/>
      <c r="J1225"/>
      <c r="L1225"/>
      <c r="M1225"/>
      <c r="N1225"/>
      <c r="O1225"/>
      <c r="P1225"/>
      <c r="Q1225"/>
      <c r="R1225"/>
      <c r="S1225"/>
    </row>
    <row r="1226" spans="7:19" x14ac:dyDescent="0.25">
      <c r="G1226"/>
      <c r="H1226"/>
      <c r="I1226"/>
      <c r="J1226"/>
      <c r="L1226"/>
      <c r="M1226"/>
      <c r="N1226"/>
      <c r="O1226"/>
      <c r="P1226"/>
      <c r="Q1226"/>
      <c r="R1226"/>
      <c r="S1226"/>
    </row>
    <row r="1227" spans="7:19" x14ac:dyDescent="0.25">
      <c r="G1227"/>
      <c r="H1227"/>
      <c r="I1227"/>
      <c r="J1227"/>
      <c r="L1227"/>
      <c r="M1227"/>
      <c r="N1227"/>
      <c r="O1227"/>
      <c r="P1227"/>
      <c r="Q1227"/>
      <c r="R1227"/>
      <c r="S1227"/>
    </row>
    <row r="1228" spans="7:19" x14ac:dyDescent="0.25">
      <c r="G1228"/>
      <c r="H1228"/>
      <c r="I1228"/>
      <c r="J1228"/>
      <c r="L1228"/>
      <c r="M1228"/>
      <c r="N1228"/>
      <c r="O1228"/>
      <c r="P1228"/>
      <c r="Q1228"/>
      <c r="R1228"/>
      <c r="S1228"/>
    </row>
    <row r="1229" spans="7:19" x14ac:dyDescent="0.25">
      <c r="G1229"/>
      <c r="H1229"/>
      <c r="I1229"/>
      <c r="J1229"/>
      <c r="L1229"/>
      <c r="M1229"/>
      <c r="N1229"/>
      <c r="O1229"/>
      <c r="P1229"/>
      <c r="Q1229"/>
      <c r="R1229"/>
      <c r="S1229"/>
    </row>
    <row r="1230" spans="7:19" x14ac:dyDescent="0.25">
      <c r="G1230"/>
      <c r="H1230"/>
      <c r="I1230"/>
      <c r="J1230"/>
      <c r="L1230"/>
      <c r="M1230"/>
      <c r="N1230"/>
      <c r="O1230"/>
      <c r="P1230"/>
      <c r="Q1230"/>
      <c r="R1230"/>
      <c r="S1230"/>
    </row>
    <row r="1231" spans="7:19" x14ac:dyDescent="0.25">
      <c r="G1231"/>
      <c r="H1231"/>
      <c r="I1231"/>
      <c r="J1231"/>
      <c r="L1231"/>
      <c r="M1231"/>
      <c r="N1231"/>
      <c r="O1231"/>
      <c r="P1231"/>
      <c r="Q1231"/>
      <c r="R1231"/>
      <c r="S1231"/>
    </row>
    <row r="1232" spans="7:19" x14ac:dyDescent="0.25">
      <c r="G1232"/>
      <c r="H1232"/>
      <c r="I1232"/>
      <c r="J1232"/>
      <c r="L1232"/>
      <c r="M1232"/>
      <c r="N1232"/>
      <c r="O1232"/>
      <c r="P1232"/>
      <c r="Q1232"/>
      <c r="R1232"/>
      <c r="S1232"/>
    </row>
    <row r="1233" spans="7:19" x14ac:dyDescent="0.25">
      <c r="G1233"/>
      <c r="H1233"/>
      <c r="I1233"/>
      <c r="J1233"/>
      <c r="L1233"/>
      <c r="M1233"/>
      <c r="N1233"/>
      <c r="O1233"/>
      <c r="P1233"/>
      <c r="Q1233"/>
      <c r="R1233"/>
      <c r="S1233"/>
    </row>
    <row r="1234" spans="7:19" x14ac:dyDescent="0.25">
      <c r="G1234"/>
      <c r="H1234"/>
      <c r="I1234"/>
      <c r="J1234"/>
      <c r="L1234"/>
      <c r="M1234"/>
      <c r="N1234"/>
      <c r="O1234"/>
      <c r="P1234"/>
      <c r="Q1234"/>
      <c r="R1234"/>
      <c r="S1234"/>
    </row>
    <row r="1235" spans="7:19" x14ac:dyDescent="0.25">
      <c r="G1235"/>
      <c r="H1235"/>
      <c r="I1235"/>
      <c r="J1235"/>
      <c r="L1235"/>
      <c r="M1235"/>
      <c r="N1235"/>
      <c r="O1235"/>
      <c r="P1235"/>
      <c r="Q1235"/>
      <c r="R1235"/>
      <c r="S1235"/>
    </row>
    <row r="1236" spans="7:19" x14ac:dyDescent="0.25">
      <c r="G1236"/>
      <c r="H1236"/>
      <c r="I1236"/>
      <c r="J1236"/>
      <c r="L1236"/>
      <c r="M1236"/>
      <c r="N1236"/>
      <c r="O1236"/>
      <c r="P1236"/>
      <c r="Q1236"/>
      <c r="R1236"/>
      <c r="S1236"/>
    </row>
    <row r="1237" spans="7:19" x14ac:dyDescent="0.25">
      <c r="G1237"/>
      <c r="H1237"/>
      <c r="I1237"/>
      <c r="J1237"/>
      <c r="L1237"/>
      <c r="M1237"/>
      <c r="N1237"/>
      <c r="O1237"/>
      <c r="P1237"/>
      <c r="Q1237"/>
      <c r="R1237"/>
      <c r="S1237"/>
    </row>
    <row r="1238" spans="7:19" x14ac:dyDescent="0.25">
      <c r="G1238"/>
      <c r="H1238"/>
      <c r="I1238"/>
      <c r="J1238"/>
      <c r="L1238"/>
      <c r="M1238"/>
      <c r="N1238"/>
      <c r="O1238"/>
      <c r="P1238"/>
      <c r="Q1238"/>
      <c r="R1238"/>
      <c r="S1238"/>
    </row>
    <row r="1239" spans="7:19" x14ac:dyDescent="0.25">
      <c r="G1239"/>
      <c r="H1239"/>
      <c r="I1239"/>
      <c r="J1239"/>
      <c r="L1239"/>
      <c r="M1239"/>
      <c r="N1239"/>
      <c r="O1239"/>
      <c r="P1239"/>
      <c r="Q1239"/>
      <c r="R1239"/>
      <c r="S1239"/>
    </row>
    <row r="1240" spans="7:19" x14ac:dyDescent="0.25">
      <c r="G1240"/>
      <c r="H1240"/>
      <c r="I1240"/>
      <c r="J1240"/>
      <c r="L1240"/>
      <c r="M1240"/>
      <c r="N1240"/>
      <c r="O1240"/>
      <c r="P1240"/>
      <c r="Q1240"/>
      <c r="R1240"/>
      <c r="S1240"/>
    </row>
    <row r="1241" spans="7:19" x14ac:dyDescent="0.25">
      <c r="G1241"/>
      <c r="H1241"/>
      <c r="I1241"/>
      <c r="J1241"/>
      <c r="L1241"/>
      <c r="M1241"/>
      <c r="N1241"/>
      <c r="O1241"/>
      <c r="P1241"/>
      <c r="Q1241"/>
      <c r="R1241"/>
      <c r="S1241"/>
    </row>
    <row r="1242" spans="7:19" x14ac:dyDescent="0.25">
      <c r="G1242"/>
      <c r="H1242"/>
      <c r="I1242"/>
      <c r="J1242"/>
      <c r="L1242"/>
      <c r="M1242"/>
      <c r="N1242"/>
      <c r="O1242"/>
      <c r="P1242"/>
      <c r="Q1242"/>
      <c r="R1242"/>
      <c r="S1242"/>
    </row>
    <row r="1243" spans="7:19" x14ac:dyDescent="0.25">
      <c r="G1243"/>
      <c r="H1243"/>
      <c r="I1243"/>
      <c r="J1243"/>
      <c r="L1243"/>
      <c r="M1243"/>
      <c r="N1243"/>
      <c r="O1243"/>
      <c r="P1243"/>
      <c r="Q1243"/>
      <c r="R1243"/>
      <c r="S1243"/>
    </row>
    <row r="1244" spans="7:19" x14ac:dyDescent="0.25">
      <c r="G1244"/>
      <c r="H1244"/>
      <c r="I1244"/>
      <c r="J1244"/>
      <c r="L1244"/>
      <c r="M1244"/>
      <c r="N1244"/>
      <c r="O1244"/>
      <c r="P1244"/>
      <c r="Q1244"/>
      <c r="R1244"/>
      <c r="S1244"/>
    </row>
    <row r="1245" spans="7:19" x14ac:dyDescent="0.25">
      <c r="G1245"/>
      <c r="H1245"/>
      <c r="I1245"/>
      <c r="J1245"/>
      <c r="L1245"/>
      <c r="M1245"/>
      <c r="N1245"/>
      <c r="O1245"/>
      <c r="P1245"/>
      <c r="Q1245"/>
      <c r="R1245"/>
      <c r="S1245"/>
    </row>
    <row r="1246" spans="7:19" x14ac:dyDescent="0.25">
      <c r="G1246"/>
      <c r="H1246"/>
      <c r="I1246"/>
      <c r="J1246"/>
      <c r="L1246"/>
      <c r="M1246"/>
      <c r="N1246"/>
      <c r="O1246"/>
      <c r="P1246"/>
      <c r="Q1246"/>
      <c r="R1246"/>
      <c r="S1246"/>
    </row>
    <row r="1247" spans="7:19" x14ac:dyDescent="0.25">
      <c r="G1247"/>
      <c r="H1247"/>
      <c r="I1247"/>
      <c r="J1247"/>
      <c r="L1247"/>
      <c r="M1247"/>
      <c r="N1247"/>
      <c r="O1247"/>
      <c r="P1247"/>
      <c r="Q1247"/>
      <c r="R1247"/>
      <c r="S1247"/>
    </row>
    <row r="1248" spans="7:19" x14ac:dyDescent="0.25">
      <c r="G1248"/>
      <c r="H1248"/>
      <c r="I1248"/>
      <c r="J1248"/>
      <c r="L1248"/>
      <c r="M1248"/>
      <c r="N1248"/>
      <c r="O1248"/>
      <c r="P1248"/>
      <c r="Q1248"/>
      <c r="R1248"/>
      <c r="S1248"/>
    </row>
    <row r="1249" spans="7:19" x14ac:dyDescent="0.25">
      <c r="G1249"/>
      <c r="H1249"/>
      <c r="I1249"/>
      <c r="J1249"/>
      <c r="L1249"/>
      <c r="M1249"/>
      <c r="N1249"/>
      <c r="O1249"/>
      <c r="P1249"/>
      <c r="Q1249"/>
      <c r="R1249"/>
      <c r="S1249"/>
    </row>
    <row r="1250" spans="7:19" x14ac:dyDescent="0.25">
      <c r="G1250"/>
      <c r="H1250"/>
      <c r="I1250"/>
      <c r="J1250"/>
      <c r="L1250"/>
      <c r="M1250"/>
      <c r="N1250"/>
      <c r="O1250"/>
      <c r="P1250"/>
      <c r="Q1250"/>
      <c r="R1250"/>
      <c r="S1250"/>
    </row>
    <row r="1251" spans="7:19" x14ac:dyDescent="0.25">
      <c r="G1251"/>
      <c r="H1251"/>
      <c r="I1251"/>
      <c r="J1251"/>
      <c r="L1251"/>
      <c r="M1251"/>
      <c r="N1251"/>
      <c r="O1251"/>
      <c r="P1251"/>
      <c r="Q1251"/>
      <c r="R1251"/>
      <c r="S1251"/>
    </row>
    <row r="1252" spans="7:19" x14ac:dyDescent="0.25">
      <c r="G1252"/>
      <c r="H1252"/>
      <c r="I1252"/>
      <c r="J1252"/>
      <c r="L1252"/>
      <c r="M1252"/>
      <c r="N1252"/>
      <c r="O1252"/>
      <c r="P1252"/>
      <c r="Q1252"/>
      <c r="R1252"/>
      <c r="S1252"/>
    </row>
    <row r="1253" spans="7:19" x14ac:dyDescent="0.25">
      <c r="G1253"/>
      <c r="H1253"/>
      <c r="I1253"/>
      <c r="J1253"/>
      <c r="L1253"/>
      <c r="M1253"/>
      <c r="N1253"/>
      <c r="O1253"/>
      <c r="P1253"/>
      <c r="Q1253"/>
      <c r="R1253"/>
      <c r="S1253"/>
    </row>
    <row r="1254" spans="7:19" x14ac:dyDescent="0.25">
      <c r="G1254"/>
      <c r="H1254"/>
      <c r="I1254"/>
      <c r="J1254"/>
      <c r="L1254"/>
      <c r="M1254"/>
      <c r="N1254"/>
      <c r="O1254"/>
      <c r="P1254"/>
      <c r="Q1254"/>
      <c r="R1254"/>
      <c r="S1254"/>
    </row>
    <row r="1255" spans="7:19" x14ac:dyDescent="0.25">
      <c r="G1255"/>
      <c r="H1255"/>
      <c r="I1255"/>
      <c r="J1255"/>
      <c r="L1255"/>
      <c r="M1255"/>
      <c r="N1255"/>
      <c r="O1255"/>
      <c r="P1255"/>
      <c r="Q1255"/>
      <c r="R1255"/>
      <c r="S1255"/>
    </row>
    <row r="1256" spans="7:19" x14ac:dyDescent="0.25">
      <c r="G1256"/>
      <c r="H1256"/>
      <c r="I1256"/>
      <c r="J1256"/>
      <c r="L1256"/>
      <c r="M1256"/>
      <c r="N1256"/>
      <c r="O1256"/>
      <c r="P1256"/>
      <c r="Q1256"/>
      <c r="R1256"/>
      <c r="S1256"/>
    </row>
    <row r="1257" spans="7:19" x14ac:dyDescent="0.25">
      <c r="G1257"/>
      <c r="H1257"/>
      <c r="I1257"/>
      <c r="J1257"/>
      <c r="L1257"/>
      <c r="M1257"/>
      <c r="N1257"/>
      <c r="O1257"/>
      <c r="P1257"/>
      <c r="Q1257"/>
      <c r="R1257"/>
      <c r="S1257"/>
    </row>
    <row r="1258" spans="7:19" x14ac:dyDescent="0.25">
      <c r="G1258"/>
      <c r="H1258"/>
      <c r="I1258"/>
      <c r="J1258"/>
      <c r="L1258"/>
      <c r="M1258"/>
      <c r="N1258"/>
      <c r="O1258"/>
      <c r="P1258"/>
      <c r="Q1258"/>
      <c r="R1258"/>
      <c r="S1258"/>
    </row>
    <row r="1259" spans="7:19" x14ac:dyDescent="0.25">
      <c r="G1259"/>
      <c r="H1259"/>
      <c r="I1259"/>
      <c r="J1259"/>
      <c r="L1259"/>
      <c r="M1259"/>
      <c r="N1259"/>
      <c r="O1259"/>
      <c r="P1259"/>
      <c r="Q1259"/>
      <c r="R1259"/>
      <c r="S1259"/>
    </row>
    <row r="1260" spans="7:19" x14ac:dyDescent="0.25">
      <c r="G1260"/>
      <c r="H1260"/>
      <c r="I1260"/>
      <c r="J1260"/>
      <c r="L1260"/>
      <c r="M1260"/>
      <c r="N1260"/>
      <c r="O1260"/>
      <c r="P1260"/>
      <c r="Q1260"/>
      <c r="R1260"/>
      <c r="S1260"/>
    </row>
    <row r="1261" spans="7:19" x14ac:dyDescent="0.25">
      <c r="G1261"/>
      <c r="H1261"/>
      <c r="I1261"/>
      <c r="J1261"/>
      <c r="L1261"/>
      <c r="M1261"/>
      <c r="N1261"/>
      <c r="O1261"/>
      <c r="P1261"/>
      <c r="Q1261"/>
      <c r="R1261"/>
      <c r="S1261"/>
    </row>
    <row r="1262" spans="7:19" x14ac:dyDescent="0.25">
      <c r="G1262"/>
      <c r="H1262"/>
      <c r="I1262"/>
      <c r="J1262"/>
      <c r="L1262"/>
      <c r="M1262"/>
      <c r="N1262"/>
      <c r="O1262"/>
      <c r="P1262"/>
      <c r="Q1262"/>
      <c r="R1262"/>
      <c r="S1262"/>
    </row>
    <row r="1263" spans="7:19" x14ac:dyDescent="0.25">
      <c r="G1263"/>
      <c r="H1263"/>
      <c r="I1263"/>
      <c r="J1263"/>
      <c r="L1263"/>
      <c r="M1263"/>
      <c r="N1263"/>
      <c r="O1263"/>
      <c r="P1263"/>
      <c r="Q1263"/>
      <c r="R1263"/>
      <c r="S1263"/>
    </row>
    <row r="1264" spans="7:19" x14ac:dyDescent="0.25">
      <c r="G1264"/>
      <c r="H1264"/>
      <c r="I1264"/>
      <c r="J1264"/>
      <c r="L1264"/>
      <c r="M1264"/>
      <c r="N1264"/>
      <c r="O1264"/>
      <c r="P1264"/>
      <c r="Q1264"/>
      <c r="R1264"/>
      <c r="S1264"/>
    </row>
    <row r="1265" spans="7:19" x14ac:dyDescent="0.25">
      <c r="G1265"/>
      <c r="H1265"/>
      <c r="I1265"/>
      <c r="J1265"/>
      <c r="L1265"/>
      <c r="M1265"/>
      <c r="N1265"/>
      <c r="O1265"/>
      <c r="P1265"/>
      <c r="Q1265"/>
      <c r="R1265"/>
      <c r="S1265"/>
    </row>
    <row r="1266" spans="7:19" x14ac:dyDescent="0.25">
      <c r="G1266"/>
      <c r="H1266"/>
      <c r="I1266"/>
      <c r="J1266"/>
      <c r="L1266"/>
      <c r="M1266"/>
      <c r="N1266"/>
      <c r="O1266"/>
      <c r="P1266"/>
      <c r="Q1266"/>
      <c r="R1266"/>
      <c r="S1266"/>
    </row>
    <row r="1267" spans="7:19" x14ac:dyDescent="0.25">
      <c r="G1267"/>
      <c r="H1267"/>
      <c r="I1267"/>
      <c r="J1267"/>
      <c r="L1267"/>
      <c r="M1267"/>
      <c r="N1267"/>
      <c r="O1267"/>
      <c r="P1267"/>
      <c r="Q1267"/>
      <c r="R1267"/>
      <c r="S1267"/>
    </row>
    <row r="1268" spans="7:19" x14ac:dyDescent="0.25">
      <c r="G1268"/>
      <c r="H1268"/>
      <c r="I1268"/>
      <c r="J1268"/>
      <c r="L1268"/>
      <c r="M1268"/>
      <c r="N1268"/>
      <c r="O1268"/>
      <c r="P1268"/>
      <c r="Q1268"/>
      <c r="R1268"/>
      <c r="S1268"/>
    </row>
    <row r="1269" spans="7:19" x14ac:dyDescent="0.25">
      <c r="G1269"/>
      <c r="H1269"/>
      <c r="I1269"/>
      <c r="J1269"/>
      <c r="L1269"/>
      <c r="M1269"/>
      <c r="N1269"/>
      <c r="O1269"/>
      <c r="P1269"/>
      <c r="Q1269"/>
      <c r="R1269"/>
      <c r="S1269"/>
    </row>
    <row r="1270" spans="7:19" x14ac:dyDescent="0.25">
      <c r="G1270"/>
      <c r="H1270"/>
      <c r="I1270"/>
      <c r="J1270"/>
      <c r="L1270"/>
      <c r="M1270"/>
      <c r="N1270"/>
      <c r="O1270"/>
      <c r="P1270"/>
      <c r="Q1270"/>
      <c r="R1270"/>
      <c r="S1270"/>
    </row>
    <row r="1271" spans="7:19" x14ac:dyDescent="0.25">
      <c r="G1271"/>
      <c r="H1271"/>
      <c r="I1271"/>
      <c r="J1271"/>
      <c r="L1271"/>
      <c r="M1271"/>
      <c r="N1271"/>
      <c r="O1271"/>
      <c r="P1271"/>
      <c r="Q1271"/>
      <c r="R1271"/>
      <c r="S1271"/>
    </row>
    <row r="1272" spans="7:19" x14ac:dyDescent="0.25">
      <c r="G1272"/>
      <c r="H1272"/>
      <c r="I1272"/>
      <c r="J1272"/>
      <c r="L1272"/>
      <c r="M1272"/>
      <c r="N1272"/>
      <c r="O1272"/>
      <c r="P1272"/>
      <c r="Q1272"/>
      <c r="R1272"/>
      <c r="S1272"/>
    </row>
    <row r="1273" spans="7:19" x14ac:dyDescent="0.25">
      <c r="G1273"/>
      <c r="H1273"/>
      <c r="I1273"/>
      <c r="J1273"/>
      <c r="L1273"/>
      <c r="M1273"/>
      <c r="N1273"/>
      <c r="O1273"/>
      <c r="P1273"/>
      <c r="Q1273"/>
      <c r="R1273"/>
      <c r="S1273"/>
    </row>
    <row r="1274" spans="7:19" x14ac:dyDescent="0.25">
      <c r="G1274"/>
      <c r="H1274"/>
      <c r="I1274"/>
      <c r="J1274"/>
      <c r="L1274"/>
      <c r="M1274"/>
      <c r="N1274"/>
      <c r="O1274"/>
      <c r="P1274"/>
      <c r="Q1274"/>
      <c r="R1274"/>
      <c r="S1274"/>
    </row>
    <row r="1275" spans="7:19" x14ac:dyDescent="0.25">
      <c r="G1275"/>
      <c r="H1275"/>
      <c r="I1275"/>
      <c r="J1275"/>
      <c r="L1275"/>
      <c r="M1275"/>
      <c r="N1275"/>
      <c r="O1275"/>
      <c r="P1275"/>
      <c r="Q1275"/>
      <c r="R1275"/>
      <c r="S1275"/>
    </row>
    <row r="1276" spans="7:19" x14ac:dyDescent="0.25">
      <c r="G1276"/>
      <c r="H1276"/>
      <c r="I1276"/>
      <c r="J1276"/>
      <c r="L1276"/>
      <c r="M1276"/>
      <c r="N1276"/>
      <c r="O1276"/>
      <c r="P1276"/>
      <c r="Q1276"/>
      <c r="R1276"/>
      <c r="S1276"/>
    </row>
    <row r="1277" spans="7:19" x14ac:dyDescent="0.25">
      <c r="G1277"/>
      <c r="H1277"/>
      <c r="I1277"/>
      <c r="J1277"/>
      <c r="L1277"/>
      <c r="M1277"/>
      <c r="N1277"/>
      <c r="O1277"/>
      <c r="P1277"/>
      <c r="Q1277"/>
      <c r="R1277"/>
      <c r="S1277"/>
    </row>
    <row r="1278" spans="7:19" x14ac:dyDescent="0.25">
      <c r="G1278"/>
      <c r="H1278"/>
      <c r="I1278"/>
      <c r="J1278"/>
      <c r="L1278"/>
      <c r="M1278"/>
      <c r="N1278"/>
      <c r="O1278"/>
      <c r="P1278"/>
      <c r="Q1278"/>
      <c r="R1278"/>
      <c r="S1278"/>
    </row>
    <row r="1279" spans="7:19" x14ac:dyDescent="0.25">
      <c r="G1279"/>
      <c r="H1279"/>
      <c r="I1279"/>
      <c r="J1279"/>
      <c r="L1279"/>
      <c r="M1279"/>
      <c r="N1279"/>
      <c r="O1279"/>
      <c r="P1279"/>
      <c r="Q1279"/>
      <c r="R1279"/>
      <c r="S1279"/>
    </row>
    <row r="1280" spans="7:19" x14ac:dyDescent="0.25">
      <c r="G1280"/>
      <c r="H1280"/>
      <c r="I1280"/>
      <c r="J1280"/>
      <c r="L1280"/>
      <c r="M1280"/>
      <c r="N1280"/>
      <c r="O1280"/>
      <c r="P1280"/>
      <c r="Q1280"/>
      <c r="R1280"/>
      <c r="S1280"/>
    </row>
    <row r="1281" spans="7:19" x14ac:dyDescent="0.25">
      <c r="G1281"/>
      <c r="H1281"/>
      <c r="I1281"/>
      <c r="J1281"/>
      <c r="L1281"/>
      <c r="M1281"/>
      <c r="N1281"/>
      <c r="O1281"/>
      <c r="P1281"/>
      <c r="Q1281"/>
      <c r="R1281"/>
      <c r="S1281"/>
    </row>
    <row r="1282" spans="7:19" x14ac:dyDescent="0.25">
      <c r="G1282"/>
      <c r="H1282"/>
      <c r="I1282"/>
      <c r="J1282"/>
      <c r="L1282"/>
      <c r="M1282"/>
      <c r="N1282"/>
      <c r="O1282"/>
      <c r="P1282"/>
      <c r="Q1282"/>
      <c r="R1282"/>
      <c r="S1282"/>
    </row>
    <row r="1283" spans="7:19" x14ac:dyDescent="0.25">
      <c r="G1283"/>
      <c r="H1283"/>
      <c r="I1283"/>
      <c r="J1283"/>
      <c r="L1283"/>
      <c r="M1283"/>
      <c r="N1283"/>
      <c r="O1283"/>
      <c r="P1283"/>
      <c r="Q1283"/>
      <c r="R1283"/>
      <c r="S1283"/>
    </row>
    <row r="1284" spans="7:19" x14ac:dyDescent="0.25">
      <c r="G1284"/>
      <c r="H1284"/>
      <c r="I1284"/>
      <c r="J1284"/>
      <c r="L1284"/>
      <c r="M1284"/>
      <c r="N1284"/>
      <c r="O1284"/>
      <c r="P1284"/>
      <c r="Q1284"/>
      <c r="R1284"/>
      <c r="S1284"/>
    </row>
    <row r="1285" spans="7:19" x14ac:dyDescent="0.25">
      <c r="G1285"/>
      <c r="H1285"/>
      <c r="I1285"/>
      <c r="J1285"/>
      <c r="L1285"/>
      <c r="M1285"/>
      <c r="N1285"/>
      <c r="O1285"/>
      <c r="P1285"/>
      <c r="Q1285"/>
      <c r="R1285"/>
      <c r="S1285"/>
    </row>
    <row r="1286" spans="7:19" x14ac:dyDescent="0.25">
      <c r="G1286"/>
      <c r="H1286"/>
      <c r="I1286"/>
      <c r="J1286"/>
      <c r="L1286"/>
      <c r="M1286"/>
      <c r="N1286"/>
      <c r="O1286"/>
      <c r="P1286"/>
      <c r="Q1286"/>
      <c r="R1286"/>
      <c r="S1286"/>
    </row>
    <row r="1287" spans="7:19" x14ac:dyDescent="0.25">
      <c r="G1287"/>
      <c r="H1287"/>
      <c r="I1287"/>
      <c r="J1287"/>
      <c r="L1287"/>
      <c r="M1287"/>
      <c r="N1287"/>
      <c r="O1287"/>
      <c r="P1287"/>
      <c r="Q1287"/>
      <c r="R1287"/>
      <c r="S1287"/>
    </row>
    <row r="1288" spans="7:19" x14ac:dyDescent="0.25">
      <c r="G1288"/>
      <c r="H1288"/>
      <c r="I1288"/>
      <c r="J1288"/>
      <c r="L1288"/>
      <c r="M1288"/>
      <c r="N1288"/>
      <c r="O1288"/>
      <c r="P1288"/>
      <c r="Q1288"/>
      <c r="R1288"/>
      <c r="S1288"/>
    </row>
    <row r="1289" spans="7:19" x14ac:dyDescent="0.25">
      <c r="G1289"/>
      <c r="H1289"/>
      <c r="I1289"/>
      <c r="J1289"/>
      <c r="L1289"/>
      <c r="M1289"/>
      <c r="N1289"/>
      <c r="O1289"/>
      <c r="P1289"/>
      <c r="Q1289"/>
      <c r="R1289"/>
      <c r="S1289"/>
    </row>
    <row r="1290" spans="7:19" x14ac:dyDescent="0.25">
      <c r="G1290"/>
      <c r="H1290"/>
      <c r="I1290"/>
      <c r="J1290"/>
      <c r="L1290"/>
      <c r="M1290"/>
      <c r="N1290"/>
      <c r="O1290"/>
      <c r="P1290"/>
      <c r="Q1290"/>
      <c r="R1290"/>
      <c r="S1290"/>
    </row>
    <row r="1291" spans="7:19" x14ac:dyDescent="0.25">
      <c r="G1291"/>
      <c r="H1291"/>
      <c r="I1291"/>
      <c r="J1291"/>
      <c r="L1291"/>
      <c r="M1291"/>
      <c r="N1291"/>
      <c r="O1291"/>
      <c r="P1291"/>
      <c r="Q1291"/>
      <c r="R1291"/>
      <c r="S1291"/>
    </row>
    <row r="1292" spans="7:19" x14ac:dyDescent="0.25">
      <c r="G1292"/>
      <c r="H1292"/>
      <c r="I1292"/>
      <c r="J1292"/>
      <c r="L1292"/>
      <c r="M1292"/>
      <c r="N1292"/>
      <c r="O1292"/>
      <c r="P1292"/>
      <c r="Q1292"/>
      <c r="R1292"/>
      <c r="S1292"/>
    </row>
    <row r="1293" spans="7:19" x14ac:dyDescent="0.25">
      <c r="G1293"/>
      <c r="H1293"/>
      <c r="I1293"/>
      <c r="J1293"/>
      <c r="L1293"/>
      <c r="M1293"/>
      <c r="N1293"/>
      <c r="O1293"/>
      <c r="P1293"/>
      <c r="Q1293"/>
      <c r="R1293"/>
      <c r="S1293"/>
    </row>
    <row r="1294" spans="7:19" x14ac:dyDescent="0.25">
      <c r="G1294"/>
      <c r="H1294"/>
      <c r="I1294"/>
      <c r="J1294"/>
      <c r="L1294"/>
      <c r="M1294"/>
      <c r="N1294"/>
      <c r="O1294"/>
      <c r="P1294"/>
      <c r="Q1294"/>
      <c r="R1294"/>
      <c r="S1294"/>
    </row>
    <row r="1295" spans="7:19" x14ac:dyDescent="0.25">
      <c r="G1295"/>
      <c r="H1295"/>
      <c r="I1295"/>
      <c r="J1295"/>
      <c r="L1295"/>
      <c r="M1295"/>
      <c r="N1295"/>
      <c r="O1295"/>
      <c r="P1295"/>
      <c r="Q1295"/>
      <c r="R1295"/>
      <c r="S1295"/>
    </row>
    <row r="1296" spans="7:19" x14ac:dyDescent="0.25">
      <c r="G1296"/>
      <c r="H1296"/>
      <c r="I1296"/>
      <c r="J1296"/>
      <c r="L1296"/>
      <c r="M1296"/>
      <c r="N1296"/>
      <c r="O1296"/>
      <c r="P1296"/>
      <c r="Q1296"/>
      <c r="R1296"/>
      <c r="S1296"/>
    </row>
    <row r="1297" spans="7:19" x14ac:dyDescent="0.25">
      <c r="G1297"/>
      <c r="H1297"/>
      <c r="I1297"/>
      <c r="J1297"/>
      <c r="L1297"/>
      <c r="M1297"/>
      <c r="N1297"/>
      <c r="O1297"/>
      <c r="P1297"/>
      <c r="Q1297"/>
      <c r="R1297"/>
      <c r="S1297"/>
    </row>
    <row r="1298" spans="7:19" x14ac:dyDescent="0.25">
      <c r="G1298"/>
      <c r="H1298"/>
      <c r="I1298"/>
      <c r="J1298"/>
      <c r="L1298"/>
      <c r="M1298"/>
      <c r="N1298"/>
      <c r="O1298"/>
      <c r="P1298"/>
      <c r="Q1298"/>
      <c r="R1298"/>
      <c r="S1298"/>
    </row>
    <row r="1299" spans="7:19" x14ac:dyDescent="0.25">
      <c r="G1299"/>
      <c r="H1299"/>
      <c r="I1299"/>
      <c r="J1299"/>
      <c r="L1299"/>
      <c r="M1299"/>
      <c r="N1299"/>
      <c r="O1299"/>
      <c r="P1299"/>
      <c r="Q1299"/>
      <c r="R1299"/>
      <c r="S1299"/>
    </row>
    <row r="1300" spans="7:19" x14ac:dyDescent="0.25">
      <c r="G1300"/>
      <c r="H1300"/>
      <c r="I1300"/>
      <c r="J1300"/>
      <c r="L1300"/>
      <c r="M1300"/>
      <c r="N1300"/>
      <c r="O1300"/>
      <c r="P1300"/>
      <c r="Q1300"/>
      <c r="R1300"/>
      <c r="S1300"/>
    </row>
    <row r="1301" spans="7:19" x14ac:dyDescent="0.25">
      <c r="G1301"/>
      <c r="H1301"/>
      <c r="I1301"/>
      <c r="J1301"/>
      <c r="L1301"/>
      <c r="M1301"/>
      <c r="N1301"/>
      <c r="O1301"/>
      <c r="P1301"/>
      <c r="Q1301"/>
      <c r="R1301"/>
      <c r="S1301"/>
    </row>
    <row r="1302" spans="7:19" x14ac:dyDescent="0.25">
      <c r="G1302"/>
      <c r="H1302"/>
      <c r="I1302"/>
      <c r="J1302"/>
      <c r="L1302"/>
      <c r="M1302"/>
      <c r="N1302"/>
      <c r="O1302"/>
      <c r="P1302"/>
      <c r="Q1302"/>
      <c r="R1302"/>
      <c r="S1302"/>
    </row>
    <row r="1303" spans="7:19" x14ac:dyDescent="0.25">
      <c r="G1303"/>
      <c r="H1303"/>
      <c r="I1303"/>
      <c r="J1303"/>
      <c r="L1303"/>
      <c r="M1303"/>
      <c r="N1303"/>
      <c r="O1303"/>
      <c r="P1303"/>
      <c r="Q1303"/>
      <c r="R1303"/>
      <c r="S1303"/>
    </row>
    <row r="1304" spans="7:19" x14ac:dyDescent="0.25">
      <c r="G1304"/>
      <c r="H1304"/>
      <c r="I1304"/>
      <c r="J1304"/>
      <c r="L1304"/>
      <c r="M1304"/>
      <c r="N1304"/>
      <c r="O1304"/>
      <c r="P1304"/>
      <c r="Q1304"/>
      <c r="R1304"/>
      <c r="S1304"/>
    </row>
    <row r="1305" spans="7:19" x14ac:dyDescent="0.25">
      <c r="G1305"/>
      <c r="H1305"/>
      <c r="I1305"/>
      <c r="J1305"/>
      <c r="L1305"/>
      <c r="M1305"/>
      <c r="N1305"/>
      <c r="O1305"/>
      <c r="P1305"/>
      <c r="Q1305"/>
      <c r="R1305"/>
      <c r="S1305"/>
    </row>
    <row r="1306" spans="7:19" x14ac:dyDescent="0.25">
      <c r="G1306"/>
      <c r="H1306"/>
      <c r="I1306"/>
      <c r="J1306"/>
      <c r="L1306"/>
      <c r="M1306"/>
      <c r="N1306"/>
      <c r="O1306"/>
      <c r="P1306"/>
      <c r="Q1306"/>
      <c r="R1306"/>
      <c r="S1306"/>
    </row>
    <row r="1307" spans="7:19" x14ac:dyDescent="0.25">
      <c r="G1307"/>
      <c r="H1307"/>
      <c r="I1307"/>
      <c r="J1307"/>
      <c r="L1307"/>
      <c r="M1307"/>
      <c r="N1307"/>
      <c r="O1307"/>
      <c r="P1307"/>
      <c r="Q1307"/>
      <c r="R1307"/>
      <c r="S1307"/>
    </row>
    <row r="1308" spans="7:19" x14ac:dyDescent="0.25">
      <c r="G1308"/>
      <c r="H1308"/>
      <c r="I1308"/>
      <c r="J1308"/>
      <c r="L1308"/>
      <c r="M1308"/>
      <c r="N1308"/>
      <c r="O1308"/>
      <c r="P1308"/>
      <c r="Q1308"/>
      <c r="R1308"/>
      <c r="S1308"/>
    </row>
    <row r="1309" spans="7:19" x14ac:dyDescent="0.25">
      <c r="G1309"/>
      <c r="H1309"/>
      <c r="I1309"/>
      <c r="J1309"/>
      <c r="L1309"/>
      <c r="M1309"/>
      <c r="N1309"/>
      <c r="O1309"/>
      <c r="P1309"/>
      <c r="Q1309"/>
      <c r="R1309"/>
      <c r="S1309"/>
    </row>
    <row r="1310" spans="7:19" x14ac:dyDescent="0.25">
      <c r="G1310"/>
      <c r="H1310"/>
      <c r="I1310"/>
      <c r="J1310"/>
      <c r="L1310"/>
      <c r="M1310"/>
      <c r="N1310"/>
      <c r="O1310"/>
      <c r="P1310"/>
      <c r="Q1310"/>
      <c r="R1310"/>
      <c r="S1310"/>
    </row>
    <row r="1311" spans="7:19" x14ac:dyDescent="0.25">
      <c r="G1311"/>
      <c r="H1311"/>
      <c r="I1311"/>
      <c r="J1311"/>
      <c r="L1311"/>
      <c r="M1311"/>
      <c r="N1311"/>
      <c r="O1311"/>
      <c r="P1311"/>
      <c r="Q1311"/>
      <c r="R1311"/>
      <c r="S1311"/>
    </row>
    <row r="1312" spans="7:19" x14ac:dyDescent="0.25">
      <c r="G1312"/>
      <c r="H1312"/>
      <c r="I1312"/>
      <c r="J1312"/>
      <c r="L1312"/>
      <c r="M1312"/>
      <c r="N1312"/>
      <c r="O1312"/>
      <c r="P1312"/>
      <c r="Q1312"/>
      <c r="R1312"/>
      <c r="S1312"/>
    </row>
    <row r="1313" spans="7:19" x14ac:dyDescent="0.25">
      <c r="G1313"/>
      <c r="H1313"/>
      <c r="I1313"/>
      <c r="J1313"/>
      <c r="L1313"/>
      <c r="M1313"/>
      <c r="N1313"/>
      <c r="O1313"/>
      <c r="P1313"/>
      <c r="Q1313"/>
      <c r="R1313"/>
      <c r="S1313"/>
    </row>
    <row r="1314" spans="7:19" x14ac:dyDescent="0.25">
      <c r="G1314"/>
      <c r="H1314"/>
      <c r="I1314"/>
      <c r="J1314"/>
      <c r="L1314"/>
      <c r="M1314"/>
      <c r="N1314"/>
      <c r="O1314"/>
      <c r="P1314"/>
      <c r="Q1314"/>
      <c r="R1314"/>
      <c r="S1314"/>
    </row>
    <row r="1315" spans="7:19" x14ac:dyDescent="0.25">
      <c r="G1315"/>
      <c r="H1315"/>
      <c r="I1315"/>
      <c r="J1315"/>
      <c r="L1315"/>
      <c r="M1315"/>
      <c r="N1315"/>
      <c r="O1315"/>
      <c r="P1315"/>
      <c r="Q1315"/>
      <c r="R1315"/>
      <c r="S1315"/>
    </row>
    <row r="1316" spans="7:19" x14ac:dyDescent="0.25">
      <c r="G1316"/>
      <c r="H1316"/>
      <c r="I1316"/>
      <c r="J1316"/>
      <c r="L1316"/>
      <c r="M1316"/>
      <c r="N1316"/>
      <c r="O1316"/>
      <c r="P1316"/>
      <c r="Q1316"/>
      <c r="R1316"/>
      <c r="S1316"/>
    </row>
    <row r="1317" spans="7:19" x14ac:dyDescent="0.25">
      <c r="G1317"/>
      <c r="H1317"/>
      <c r="I1317"/>
      <c r="J1317"/>
      <c r="L1317"/>
      <c r="M1317"/>
      <c r="N1317"/>
      <c r="O1317"/>
      <c r="P1317"/>
      <c r="Q1317"/>
      <c r="R1317"/>
      <c r="S1317"/>
    </row>
    <row r="1318" spans="7:19" x14ac:dyDescent="0.25">
      <c r="G1318"/>
      <c r="H1318"/>
      <c r="I1318"/>
      <c r="J1318"/>
      <c r="L1318"/>
      <c r="M1318"/>
      <c r="N1318"/>
      <c r="O1318"/>
      <c r="P1318"/>
      <c r="Q1318"/>
      <c r="R1318"/>
      <c r="S1318"/>
    </row>
    <row r="1319" spans="7:19" x14ac:dyDescent="0.25">
      <c r="G1319"/>
      <c r="H1319"/>
      <c r="I1319"/>
      <c r="J1319"/>
      <c r="L1319"/>
      <c r="M1319"/>
      <c r="N1319"/>
      <c r="O1319"/>
      <c r="P1319"/>
      <c r="Q1319"/>
      <c r="R1319"/>
      <c r="S1319"/>
    </row>
    <row r="1320" spans="7:19" x14ac:dyDescent="0.25">
      <c r="G1320"/>
      <c r="H1320"/>
      <c r="I1320"/>
      <c r="J1320"/>
      <c r="L1320"/>
      <c r="M1320"/>
      <c r="N1320"/>
      <c r="O1320"/>
      <c r="P1320"/>
      <c r="Q1320"/>
      <c r="R1320"/>
      <c r="S1320"/>
    </row>
    <row r="1321" spans="7:19" x14ac:dyDescent="0.25">
      <c r="G1321"/>
      <c r="H1321"/>
      <c r="I1321"/>
      <c r="J1321"/>
      <c r="L1321"/>
      <c r="M1321"/>
      <c r="N1321"/>
      <c r="O1321"/>
      <c r="P1321"/>
      <c r="Q1321"/>
      <c r="R1321"/>
      <c r="S1321"/>
    </row>
    <row r="1322" spans="7:19" x14ac:dyDescent="0.25">
      <c r="G1322"/>
      <c r="H1322"/>
      <c r="I1322"/>
      <c r="J1322"/>
      <c r="L1322"/>
      <c r="M1322"/>
      <c r="N1322"/>
      <c r="O1322"/>
      <c r="P1322"/>
      <c r="Q1322"/>
      <c r="R1322"/>
      <c r="S1322"/>
    </row>
    <row r="1323" spans="7:19" x14ac:dyDescent="0.25">
      <c r="G1323"/>
      <c r="H1323"/>
      <c r="I1323"/>
      <c r="J1323"/>
      <c r="L1323"/>
      <c r="M1323"/>
      <c r="N1323"/>
      <c r="O1323"/>
      <c r="P1323"/>
      <c r="Q1323"/>
      <c r="R1323"/>
      <c r="S1323"/>
    </row>
    <row r="1324" spans="7:19" x14ac:dyDescent="0.25">
      <c r="G1324"/>
      <c r="H1324"/>
      <c r="I1324"/>
      <c r="J1324"/>
      <c r="L1324"/>
      <c r="M1324"/>
      <c r="N1324"/>
      <c r="O1324"/>
      <c r="P1324"/>
      <c r="Q1324"/>
      <c r="R1324"/>
      <c r="S1324"/>
    </row>
    <row r="1325" spans="7:19" x14ac:dyDescent="0.25">
      <c r="G1325"/>
      <c r="H1325"/>
      <c r="I1325"/>
      <c r="J1325"/>
      <c r="L1325"/>
      <c r="M1325"/>
      <c r="N1325"/>
      <c r="O1325"/>
      <c r="P1325"/>
      <c r="Q1325"/>
      <c r="R1325"/>
      <c r="S1325"/>
    </row>
    <row r="1326" spans="7:19" x14ac:dyDescent="0.25">
      <c r="G1326"/>
      <c r="H1326"/>
      <c r="I1326"/>
      <c r="J1326"/>
      <c r="L1326"/>
      <c r="M1326"/>
      <c r="N1326"/>
      <c r="O1326"/>
      <c r="P1326"/>
      <c r="Q1326"/>
      <c r="R1326"/>
      <c r="S1326"/>
    </row>
    <row r="1327" spans="7:19" x14ac:dyDescent="0.25">
      <c r="G1327"/>
      <c r="H1327"/>
      <c r="I1327"/>
      <c r="J1327"/>
      <c r="L1327"/>
      <c r="M1327"/>
      <c r="N1327"/>
      <c r="O1327"/>
      <c r="P1327"/>
      <c r="Q1327"/>
      <c r="R1327"/>
      <c r="S1327"/>
    </row>
    <row r="1328" spans="7:19" x14ac:dyDescent="0.25">
      <c r="G1328"/>
      <c r="H1328"/>
      <c r="I1328"/>
      <c r="J1328"/>
      <c r="L1328"/>
      <c r="M1328"/>
      <c r="N1328"/>
      <c r="O1328"/>
      <c r="P1328"/>
      <c r="Q1328"/>
      <c r="R1328"/>
      <c r="S1328"/>
    </row>
    <row r="1329" spans="7:19" x14ac:dyDescent="0.25">
      <c r="G1329"/>
      <c r="H1329"/>
      <c r="I1329"/>
      <c r="J1329"/>
      <c r="L1329"/>
      <c r="M1329"/>
      <c r="N1329"/>
      <c r="O1329"/>
      <c r="P1329"/>
      <c r="Q1329"/>
      <c r="R1329"/>
      <c r="S1329"/>
    </row>
    <row r="1330" spans="7:19" x14ac:dyDescent="0.25">
      <c r="G1330"/>
      <c r="H1330"/>
      <c r="I1330"/>
      <c r="J1330"/>
      <c r="L1330"/>
      <c r="M1330"/>
      <c r="N1330"/>
      <c r="O1330"/>
      <c r="P1330"/>
      <c r="Q1330"/>
      <c r="R1330"/>
      <c r="S1330"/>
    </row>
    <row r="1331" spans="7:19" x14ac:dyDescent="0.25">
      <c r="G1331"/>
      <c r="H1331"/>
      <c r="I1331"/>
      <c r="J1331"/>
      <c r="L1331"/>
      <c r="M1331"/>
      <c r="N1331"/>
      <c r="O1331"/>
      <c r="P1331"/>
      <c r="Q1331"/>
      <c r="R1331"/>
      <c r="S1331"/>
    </row>
    <row r="1332" spans="7:19" x14ac:dyDescent="0.25">
      <c r="G1332"/>
      <c r="H1332"/>
      <c r="I1332"/>
      <c r="J1332"/>
      <c r="L1332"/>
      <c r="M1332"/>
      <c r="N1332"/>
      <c r="O1332"/>
      <c r="P1332"/>
      <c r="Q1332"/>
      <c r="R1332"/>
      <c r="S1332"/>
    </row>
    <row r="1333" spans="7:19" x14ac:dyDescent="0.25">
      <c r="G1333"/>
      <c r="H1333"/>
      <c r="I1333"/>
      <c r="J1333"/>
      <c r="L1333"/>
      <c r="M1333"/>
      <c r="N1333"/>
      <c r="O1333"/>
      <c r="P1333"/>
      <c r="Q1333"/>
      <c r="R1333"/>
      <c r="S1333"/>
    </row>
    <row r="1334" spans="7:19" x14ac:dyDescent="0.25">
      <c r="G1334"/>
      <c r="H1334"/>
      <c r="I1334"/>
      <c r="J1334"/>
      <c r="L1334"/>
      <c r="M1334"/>
      <c r="N1334"/>
      <c r="O1334"/>
      <c r="P1334"/>
      <c r="Q1334"/>
      <c r="R1334"/>
      <c r="S1334"/>
    </row>
    <row r="1335" spans="7:19" x14ac:dyDescent="0.25">
      <c r="G1335"/>
      <c r="H1335"/>
      <c r="I1335"/>
      <c r="J1335"/>
      <c r="L1335"/>
      <c r="M1335"/>
      <c r="N1335"/>
      <c r="O1335"/>
      <c r="P1335"/>
      <c r="Q1335"/>
      <c r="R1335"/>
      <c r="S1335"/>
    </row>
    <row r="1336" spans="7:19" x14ac:dyDescent="0.25">
      <c r="G1336"/>
      <c r="H1336"/>
      <c r="I1336"/>
      <c r="J1336"/>
      <c r="L1336"/>
      <c r="M1336"/>
      <c r="N1336"/>
      <c r="O1336"/>
      <c r="P1336"/>
      <c r="Q1336"/>
      <c r="R1336"/>
      <c r="S1336"/>
    </row>
    <row r="1337" spans="7:19" x14ac:dyDescent="0.25">
      <c r="G1337"/>
      <c r="H1337"/>
      <c r="I1337"/>
      <c r="J1337"/>
      <c r="L1337"/>
      <c r="M1337"/>
      <c r="N1337"/>
      <c r="O1337"/>
      <c r="P1337"/>
      <c r="Q1337"/>
      <c r="R1337"/>
      <c r="S1337"/>
    </row>
    <row r="1338" spans="7:19" x14ac:dyDescent="0.25">
      <c r="G1338"/>
      <c r="H1338"/>
      <c r="I1338"/>
      <c r="J1338"/>
      <c r="L1338"/>
      <c r="M1338"/>
      <c r="N1338"/>
      <c r="O1338"/>
      <c r="P1338"/>
      <c r="Q1338"/>
      <c r="R1338"/>
      <c r="S1338"/>
    </row>
    <row r="1339" spans="7:19" x14ac:dyDescent="0.25">
      <c r="G1339"/>
      <c r="H1339"/>
      <c r="I1339"/>
      <c r="J1339"/>
      <c r="L1339"/>
      <c r="M1339"/>
      <c r="N1339"/>
      <c r="O1339"/>
      <c r="P1339"/>
      <c r="Q1339"/>
      <c r="R1339"/>
      <c r="S1339"/>
    </row>
    <row r="1340" spans="7:19" x14ac:dyDescent="0.25">
      <c r="G1340"/>
      <c r="H1340"/>
      <c r="I1340"/>
      <c r="J1340"/>
      <c r="L1340"/>
      <c r="M1340"/>
      <c r="N1340"/>
      <c r="O1340"/>
      <c r="P1340"/>
      <c r="Q1340"/>
      <c r="R1340"/>
      <c r="S1340"/>
    </row>
    <row r="1341" spans="7:19" x14ac:dyDescent="0.25">
      <c r="G1341"/>
      <c r="H1341"/>
      <c r="I1341"/>
      <c r="J1341"/>
      <c r="L1341"/>
      <c r="M1341"/>
      <c r="N1341"/>
      <c r="O1341"/>
      <c r="P1341"/>
      <c r="Q1341"/>
      <c r="R1341"/>
      <c r="S1341"/>
    </row>
    <row r="1342" spans="7:19" x14ac:dyDescent="0.25">
      <c r="G1342"/>
      <c r="H1342"/>
      <c r="I1342"/>
      <c r="J1342"/>
      <c r="L1342"/>
      <c r="M1342"/>
      <c r="N1342"/>
      <c r="O1342"/>
      <c r="P1342"/>
      <c r="Q1342"/>
      <c r="R1342"/>
      <c r="S1342"/>
    </row>
    <row r="1343" spans="7:19" x14ac:dyDescent="0.25">
      <c r="G1343"/>
      <c r="H1343"/>
      <c r="I1343"/>
      <c r="J1343"/>
      <c r="L1343"/>
      <c r="M1343"/>
      <c r="N1343"/>
      <c r="O1343"/>
      <c r="P1343"/>
      <c r="Q1343"/>
      <c r="R1343"/>
      <c r="S1343"/>
    </row>
    <row r="1344" spans="7:19" x14ac:dyDescent="0.25">
      <c r="G1344"/>
      <c r="H1344"/>
      <c r="I1344"/>
      <c r="J1344"/>
      <c r="L1344"/>
      <c r="M1344"/>
      <c r="N1344"/>
      <c r="O1344"/>
      <c r="P1344"/>
      <c r="Q1344"/>
      <c r="R1344"/>
      <c r="S1344"/>
    </row>
    <row r="1345" spans="7:19" x14ac:dyDescent="0.25">
      <c r="G1345"/>
      <c r="H1345"/>
      <c r="I1345"/>
      <c r="J1345"/>
      <c r="L1345"/>
      <c r="M1345"/>
      <c r="N1345"/>
      <c r="O1345"/>
      <c r="P1345"/>
      <c r="Q1345"/>
      <c r="R1345"/>
      <c r="S1345"/>
    </row>
    <row r="1346" spans="7:19" x14ac:dyDescent="0.25">
      <c r="G1346"/>
      <c r="H1346"/>
      <c r="I1346"/>
      <c r="J1346"/>
      <c r="L1346"/>
      <c r="M1346"/>
      <c r="N1346"/>
      <c r="O1346"/>
      <c r="P1346"/>
      <c r="Q1346"/>
      <c r="R1346"/>
      <c r="S1346"/>
    </row>
    <row r="1347" spans="7:19" x14ac:dyDescent="0.25">
      <c r="G1347"/>
      <c r="H1347"/>
      <c r="I1347"/>
      <c r="J1347"/>
      <c r="L1347"/>
      <c r="M1347"/>
      <c r="N1347"/>
      <c r="O1347"/>
      <c r="P1347"/>
      <c r="Q1347"/>
      <c r="R1347"/>
      <c r="S1347"/>
    </row>
    <row r="1348" spans="7:19" x14ac:dyDescent="0.25">
      <c r="G1348"/>
      <c r="H1348"/>
      <c r="I1348"/>
      <c r="J1348"/>
      <c r="L1348"/>
      <c r="M1348"/>
      <c r="N1348"/>
      <c r="O1348"/>
      <c r="P1348"/>
      <c r="Q1348"/>
      <c r="R1348"/>
      <c r="S1348"/>
    </row>
    <row r="1349" spans="7:19" x14ac:dyDescent="0.25">
      <c r="G1349"/>
      <c r="H1349"/>
      <c r="I1349"/>
      <c r="J1349"/>
      <c r="L1349"/>
      <c r="M1349"/>
      <c r="N1349"/>
      <c r="O1349"/>
      <c r="P1349"/>
      <c r="Q1349"/>
      <c r="R1349"/>
      <c r="S1349"/>
    </row>
    <row r="1350" spans="7:19" x14ac:dyDescent="0.25">
      <c r="G1350"/>
      <c r="H1350"/>
      <c r="I1350"/>
      <c r="J1350"/>
      <c r="L1350"/>
      <c r="M1350"/>
      <c r="N1350"/>
      <c r="O1350"/>
      <c r="P1350"/>
      <c r="Q1350"/>
      <c r="R1350"/>
      <c r="S1350"/>
    </row>
    <row r="1351" spans="7:19" x14ac:dyDescent="0.25">
      <c r="G1351"/>
      <c r="H1351"/>
      <c r="I1351"/>
      <c r="J1351"/>
      <c r="L1351"/>
      <c r="M1351"/>
      <c r="N1351"/>
      <c r="O1351"/>
      <c r="P1351"/>
      <c r="Q1351"/>
      <c r="R1351"/>
      <c r="S1351"/>
    </row>
    <row r="1352" spans="7:19" x14ac:dyDescent="0.25">
      <c r="G1352"/>
      <c r="H1352"/>
      <c r="I1352"/>
      <c r="J1352"/>
      <c r="L1352"/>
      <c r="M1352"/>
      <c r="N1352"/>
      <c r="O1352"/>
      <c r="P1352"/>
      <c r="Q1352"/>
      <c r="R1352"/>
      <c r="S1352"/>
    </row>
    <row r="1353" spans="7:19" x14ac:dyDescent="0.25">
      <c r="G1353"/>
      <c r="H1353"/>
      <c r="I1353"/>
      <c r="J1353"/>
      <c r="L1353"/>
      <c r="M1353"/>
      <c r="N1353"/>
      <c r="O1353"/>
      <c r="P1353"/>
      <c r="Q1353"/>
      <c r="R1353"/>
      <c r="S1353"/>
    </row>
    <row r="1354" spans="7:19" x14ac:dyDescent="0.25">
      <c r="G1354"/>
      <c r="H1354"/>
      <c r="I1354"/>
      <c r="J1354"/>
      <c r="L1354"/>
      <c r="M1354"/>
      <c r="N1354"/>
      <c r="O1354"/>
      <c r="P1354"/>
      <c r="Q1354"/>
      <c r="R1354"/>
      <c r="S1354"/>
    </row>
    <row r="1355" spans="7:19" x14ac:dyDescent="0.25">
      <c r="G1355"/>
      <c r="H1355"/>
      <c r="I1355"/>
      <c r="J1355"/>
      <c r="L1355"/>
      <c r="M1355"/>
      <c r="N1355"/>
      <c r="O1355"/>
      <c r="P1355"/>
      <c r="Q1355"/>
      <c r="R1355"/>
      <c r="S1355"/>
    </row>
    <row r="1356" spans="7:19" x14ac:dyDescent="0.25">
      <c r="G1356"/>
      <c r="H1356"/>
      <c r="I1356"/>
      <c r="J1356"/>
      <c r="L1356"/>
      <c r="M1356"/>
      <c r="N1356"/>
      <c r="O1356"/>
      <c r="P1356"/>
      <c r="Q1356"/>
      <c r="R1356"/>
      <c r="S1356"/>
    </row>
    <row r="1357" spans="7:19" x14ac:dyDescent="0.25">
      <c r="G1357"/>
      <c r="H1357"/>
      <c r="I1357"/>
      <c r="J1357"/>
      <c r="L1357"/>
      <c r="M1357"/>
      <c r="N1357"/>
      <c r="O1357"/>
      <c r="P1357"/>
      <c r="Q1357"/>
      <c r="R1357"/>
      <c r="S1357"/>
    </row>
    <row r="1358" spans="7:19" x14ac:dyDescent="0.25">
      <c r="G1358"/>
      <c r="H1358"/>
      <c r="I1358"/>
      <c r="J1358"/>
      <c r="L1358"/>
      <c r="M1358"/>
      <c r="N1358"/>
      <c r="O1358"/>
      <c r="P1358"/>
      <c r="Q1358"/>
      <c r="R1358"/>
      <c r="S1358"/>
    </row>
    <row r="1359" spans="7:19" x14ac:dyDescent="0.25">
      <c r="G1359"/>
      <c r="H1359"/>
      <c r="I1359"/>
      <c r="J1359"/>
      <c r="L1359"/>
      <c r="M1359"/>
      <c r="N1359"/>
      <c r="O1359"/>
      <c r="P1359"/>
      <c r="Q1359"/>
      <c r="R1359"/>
      <c r="S1359"/>
    </row>
    <row r="1360" spans="7:19" x14ac:dyDescent="0.25">
      <c r="G1360"/>
      <c r="H1360"/>
      <c r="I1360"/>
      <c r="J1360"/>
      <c r="L1360"/>
      <c r="M1360"/>
      <c r="N1360"/>
      <c r="O1360"/>
      <c r="P1360"/>
      <c r="Q1360"/>
      <c r="R1360"/>
      <c r="S1360"/>
    </row>
    <row r="1361" spans="7:19" x14ac:dyDescent="0.25">
      <c r="G1361"/>
      <c r="H1361"/>
      <c r="I1361"/>
      <c r="J1361"/>
      <c r="L1361"/>
      <c r="M1361"/>
      <c r="N1361"/>
      <c r="O1361"/>
      <c r="P1361"/>
      <c r="Q1361"/>
      <c r="R1361"/>
      <c r="S1361"/>
    </row>
    <row r="1362" spans="7:19" x14ac:dyDescent="0.25">
      <c r="G1362"/>
      <c r="H1362"/>
      <c r="I1362"/>
      <c r="J1362"/>
      <c r="L1362"/>
      <c r="M1362"/>
      <c r="N1362"/>
      <c r="O1362"/>
      <c r="P1362"/>
      <c r="Q1362"/>
      <c r="R1362"/>
      <c r="S1362"/>
    </row>
    <row r="1363" spans="7:19" x14ac:dyDescent="0.25">
      <c r="G1363"/>
      <c r="H1363"/>
      <c r="I1363"/>
      <c r="J1363"/>
      <c r="L1363"/>
      <c r="M1363"/>
      <c r="N1363"/>
      <c r="O1363"/>
      <c r="P1363"/>
      <c r="Q1363"/>
      <c r="R1363"/>
      <c r="S1363"/>
    </row>
    <row r="1364" spans="7:19" x14ac:dyDescent="0.25">
      <c r="G1364"/>
      <c r="H1364"/>
      <c r="I1364"/>
      <c r="J1364"/>
      <c r="L1364"/>
      <c r="M1364"/>
      <c r="N1364"/>
      <c r="O1364"/>
      <c r="P1364"/>
      <c r="Q1364"/>
      <c r="R1364"/>
      <c r="S1364"/>
    </row>
    <row r="1365" spans="7:19" x14ac:dyDescent="0.25">
      <c r="G1365"/>
      <c r="H1365"/>
      <c r="I1365"/>
      <c r="J1365"/>
      <c r="L1365"/>
      <c r="M1365"/>
      <c r="N1365"/>
      <c r="O1365"/>
      <c r="P1365"/>
      <c r="Q1365"/>
      <c r="R1365"/>
      <c r="S1365"/>
    </row>
    <row r="1366" spans="7:19" x14ac:dyDescent="0.25">
      <c r="G1366"/>
      <c r="H1366"/>
      <c r="I1366"/>
      <c r="J1366"/>
      <c r="L1366"/>
      <c r="M1366"/>
      <c r="N1366"/>
      <c r="O1366"/>
      <c r="P1366"/>
      <c r="Q1366"/>
      <c r="R1366"/>
      <c r="S1366"/>
    </row>
    <row r="1367" spans="7:19" x14ac:dyDescent="0.25">
      <c r="G1367"/>
      <c r="H1367"/>
      <c r="I1367"/>
      <c r="J1367"/>
      <c r="L1367"/>
      <c r="M1367"/>
      <c r="N1367"/>
      <c r="O1367"/>
      <c r="P1367"/>
      <c r="Q1367"/>
      <c r="R1367"/>
      <c r="S1367"/>
    </row>
    <row r="1368" spans="7:19" x14ac:dyDescent="0.25">
      <c r="G1368"/>
      <c r="H1368"/>
      <c r="I1368"/>
      <c r="J1368"/>
      <c r="L1368"/>
      <c r="M1368"/>
      <c r="N1368"/>
      <c r="O1368"/>
      <c r="P1368"/>
      <c r="Q1368"/>
      <c r="R1368"/>
      <c r="S1368"/>
    </row>
    <row r="1369" spans="7:19" x14ac:dyDescent="0.25">
      <c r="G1369"/>
      <c r="H1369"/>
      <c r="I1369"/>
      <c r="J1369"/>
      <c r="L1369"/>
      <c r="M1369"/>
      <c r="N1369"/>
      <c r="O1369"/>
      <c r="P1369"/>
      <c r="Q1369"/>
      <c r="R1369"/>
      <c r="S1369"/>
    </row>
    <row r="1370" spans="7:19" x14ac:dyDescent="0.25">
      <c r="G1370"/>
      <c r="H1370"/>
      <c r="I1370"/>
      <c r="J1370"/>
      <c r="L1370"/>
      <c r="M1370"/>
      <c r="N1370"/>
      <c r="O1370"/>
      <c r="P1370"/>
      <c r="Q1370"/>
      <c r="R1370"/>
      <c r="S1370"/>
    </row>
    <row r="1371" spans="7:19" x14ac:dyDescent="0.25">
      <c r="G1371"/>
      <c r="H1371"/>
      <c r="I1371"/>
      <c r="J1371"/>
      <c r="L1371"/>
      <c r="M1371"/>
      <c r="N1371"/>
      <c r="O1371"/>
      <c r="P1371"/>
      <c r="Q1371"/>
      <c r="R1371"/>
      <c r="S1371"/>
    </row>
    <row r="1372" spans="7:19" x14ac:dyDescent="0.25">
      <c r="G1372"/>
      <c r="H1372"/>
      <c r="I1372"/>
      <c r="J1372"/>
      <c r="L1372"/>
      <c r="M1372"/>
      <c r="N1372"/>
      <c r="O1372"/>
      <c r="P1372"/>
      <c r="Q1372"/>
      <c r="R1372"/>
      <c r="S1372"/>
    </row>
    <row r="1373" spans="7:19" x14ac:dyDescent="0.25">
      <c r="G1373"/>
      <c r="H1373"/>
      <c r="I1373"/>
      <c r="J1373"/>
      <c r="L1373"/>
      <c r="M1373"/>
      <c r="N1373"/>
      <c r="O1373"/>
      <c r="P1373"/>
      <c r="Q1373"/>
      <c r="R1373"/>
      <c r="S1373"/>
    </row>
    <row r="1374" spans="7:19" x14ac:dyDescent="0.25">
      <c r="G1374"/>
      <c r="H1374"/>
      <c r="I1374"/>
      <c r="J1374"/>
      <c r="L1374"/>
      <c r="M1374"/>
      <c r="N1374"/>
      <c r="O1374"/>
      <c r="P1374"/>
      <c r="Q1374"/>
      <c r="R1374"/>
      <c r="S1374"/>
    </row>
    <row r="1375" spans="7:19" x14ac:dyDescent="0.25">
      <c r="G1375"/>
      <c r="H1375"/>
      <c r="I1375"/>
      <c r="J1375"/>
      <c r="L1375"/>
      <c r="M1375"/>
      <c r="N1375"/>
      <c r="O1375"/>
      <c r="P1375"/>
      <c r="Q1375"/>
      <c r="R1375"/>
      <c r="S1375"/>
    </row>
    <row r="1376" spans="7:19" x14ac:dyDescent="0.25">
      <c r="G1376"/>
      <c r="H1376"/>
      <c r="I1376"/>
      <c r="J1376"/>
      <c r="L1376"/>
      <c r="M1376"/>
      <c r="N1376"/>
      <c r="O1376"/>
      <c r="P1376"/>
      <c r="Q1376"/>
      <c r="R1376"/>
      <c r="S1376"/>
    </row>
    <row r="1377" spans="7:19" x14ac:dyDescent="0.25">
      <c r="G1377"/>
      <c r="H1377"/>
      <c r="I1377"/>
      <c r="J1377"/>
      <c r="L1377"/>
      <c r="M1377"/>
      <c r="N1377"/>
      <c r="O1377"/>
      <c r="P1377"/>
      <c r="Q1377"/>
      <c r="R1377"/>
      <c r="S1377"/>
    </row>
    <row r="1378" spans="7:19" x14ac:dyDescent="0.25">
      <c r="G1378"/>
      <c r="H1378"/>
      <c r="I1378"/>
      <c r="J1378"/>
      <c r="L1378"/>
      <c r="M1378"/>
      <c r="N1378"/>
      <c r="O1378"/>
      <c r="P1378"/>
      <c r="Q1378"/>
      <c r="R1378"/>
      <c r="S1378"/>
    </row>
    <row r="1379" spans="7:19" x14ac:dyDescent="0.25">
      <c r="G1379"/>
      <c r="H1379"/>
      <c r="I1379"/>
      <c r="J1379"/>
      <c r="L1379"/>
      <c r="M1379"/>
      <c r="N1379"/>
      <c r="O1379"/>
      <c r="P1379"/>
      <c r="Q1379"/>
      <c r="R1379"/>
      <c r="S1379"/>
    </row>
    <row r="1380" spans="7:19" x14ac:dyDescent="0.25">
      <c r="G1380"/>
      <c r="H1380"/>
      <c r="I1380"/>
      <c r="J1380"/>
      <c r="L1380"/>
      <c r="M1380"/>
      <c r="N1380"/>
      <c r="O1380"/>
      <c r="P1380"/>
      <c r="Q1380"/>
      <c r="R1380"/>
      <c r="S1380"/>
    </row>
    <row r="1381" spans="7:19" x14ac:dyDescent="0.25">
      <c r="G1381"/>
      <c r="H1381"/>
      <c r="I1381"/>
      <c r="J1381"/>
      <c r="L1381"/>
      <c r="M1381"/>
      <c r="N1381"/>
      <c r="O1381"/>
      <c r="P1381"/>
      <c r="Q1381"/>
      <c r="R1381"/>
      <c r="S1381"/>
    </row>
    <row r="1382" spans="7:19" x14ac:dyDescent="0.25">
      <c r="G1382"/>
      <c r="H1382"/>
      <c r="I1382"/>
      <c r="J1382"/>
      <c r="L1382"/>
      <c r="M1382"/>
      <c r="N1382"/>
      <c r="O1382"/>
      <c r="P1382"/>
      <c r="Q1382"/>
      <c r="R1382"/>
      <c r="S1382"/>
    </row>
    <row r="1383" spans="7:19" x14ac:dyDescent="0.25">
      <c r="G1383"/>
      <c r="H1383"/>
      <c r="I1383"/>
      <c r="J1383"/>
      <c r="L1383"/>
      <c r="M1383"/>
      <c r="N1383"/>
      <c r="O1383"/>
      <c r="P1383"/>
      <c r="Q1383"/>
      <c r="R1383"/>
      <c r="S1383"/>
    </row>
    <row r="1384" spans="7:19" x14ac:dyDescent="0.25">
      <c r="G1384"/>
      <c r="H1384"/>
      <c r="I1384"/>
      <c r="J1384"/>
      <c r="L1384"/>
      <c r="M1384"/>
      <c r="N1384"/>
      <c r="O1384"/>
      <c r="P1384"/>
      <c r="Q1384"/>
      <c r="R1384"/>
      <c r="S1384"/>
    </row>
    <row r="1385" spans="7:19" x14ac:dyDescent="0.25">
      <c r="G1385"/>
      <c r="H1385"/>
      <c r="I1385"/>
      <c r="J1385"/>
      <c r="L1385"/>
      <c r="M1385"/>
      <c r="N1385"/>
      <c r="O1385"/>
      <c r="P1385"/>
      <c r="Q1385"/>
      <c r="R1385"/>
      <c r="S1385"/>
    </row>
    <row r="1386" spans="7:19" x14ac:dyDescent="0.25">
      <c r="G1386"/>
      <c r="H1386"/>
      <c r="I1386"/>
      <c r="J1386"/>
      <c r="L1386"/>
      <c r="M1386"/>
      <c r="N1386"/>
      <c r="O1386"/>
      <c r="P1386"/>
      <c r="Q1386"/>
      <c r="R1386"/>
      <c r="S1386"/>
    </row>
    <row r="1387" spans="7:19" x14ac:dyDescent="0.25">
      <c r="G1387"/>
      <c r="H1387"/>
      <c r="I1387"/>
      <c r="J1387"/>
      <c r="L1387"/>
      <c r="M1387"/>
      <c r="N1387"/>
      <c r="O1387"/>
      <c r="P1387"/>
      <c r="Q1387"/>
      <c r="R1387"/>
      <c r="S1387"/>
    </row>
    <row r="1388" spans="7:19" x14ac:dyDescent="0.25">
      <c r="G1388"/>
      <c r="H1388"/>
      <c r="I1388"/>
      <c r="J1388"/>
      <c r="L1388"/>
      <c r="M1388"/>
      <c r="N1388"/>
      <c r="O1388"/>
      <c r="P1388"/>
      <c r="Q1388"/>
      <c r="R1388"/>
      <c r="S1388"/>
    </row>
    <row r="1389" spans="7:19" x14ac:dyDescent="0.25">
      <c r="G1389"/>
      <c r="H1389"/>
      <c r="I1389"/>
      <c r="J1389"/>
      <c r="L1389"/>
      <c r="M1389"/>
      <c r="N1389"/>
      <c r="O1389"/>
      <c r="P1389"/>
      <c r="Q1389"/>
      <c r="R1389"/>
      <c r="S1389"/>
    </row>
    <row r="1390" spans="7:19" x14ac:dyDescent="0.25">
      <c r="G1390"/>
      <c r="H1390"/>
      <c r="I1390"/>
      <c r="J1390"/>
      <c r="L1390"/>
      <c r="M1390"/>
      <c r="N1390"/>
      <c r="O1390"/>
      <c r="P1390"/>
      <c r="Q1390"/>
      <c r="R1390"/>
      <c r="S1390"/>
    </row>
    <row r="1391" spans="7:19" x14ac:dyDescent="0.25">
      <c r="G1391"/>
      <c r="H1391"/>
      <c r="I1391"/>
      <c r="J1391"/>
      <c r="L1391"/>
      <c r="M1391"/>
      <c r="N1391"/>
      <c r="O1391"/>
      <c r="P1391"/>
      <c r="Q1391"/>
      <c r="R1391"/>
      <c r="S1391"/>
    </row>
    <row r="1392" spans="7:19" x14ac:dyDescent="0.25">
      <c r="G1392"/>
      <c r="H1392"/>
      <c r="I1392"/>
      <c r="J1392"/>
      <c r="L1392"/>
      <c r="M1392"/>
      <c r="N1392"/>
      <c r="O1392"/>
      <c r="P1392"/>
      <c r="Q1392"/>
      <c r="R1392"/>
      <c r="S1392"/>
    </row>
    <row r="1393" spans="7:19" x14ac:dyDescent="0.25">
      <c r="G1393"/>
      <c r="H1393"/>
      <c r="I1393"/>
      <c r="J1393"/>
      <c r="L1393"/>
      <c r="M1393"/>
      <c r="N1393"/>
      <c r="O1393"/>
      <c r="P1393"/>
      <c r="Q1393"/>
      <c r="R1393"/>
      <c r="S1393"/>
    </row>
    <row r="1394" spans="7:19" x14ac:dyDescent="0.25">
      <c r="G1394"/>
      <c r="H1394"/>
      <c r="I1394"/>
      <c r="J1394"/>
      <c r="L1394"/>
      <c r="M1394"/>
      <c r="N1394"/>
      <c r="O1394"/>
      <c r="P1394"/>
      <c r="Q1394"/>
      <c r="R1394"/>
      <c r="S1394"/>
    </row>
    <row r="1395" spans="7:19" x14ac:dyDescent="0.25">
      <c r="G1395"/>
      <c r="H1395"/>
      <c r="I1395"/>
      <c r="J1395"/>
      <c r="L1395"/>
      <c r="M1395"/>
      <c r="N1395"/>
      <c r="O1395"/>
      <c r="P1395"/>
      <c r="Q1395"/>
      <c r="R1395"/>
      <c r="S1395"/>
    </row>
    <row r="1396" spans="7:19" x14ac:dyDescent="0.25">
      <c r="G1396"/>
      <c r="H1396"/>
      <c r="I1396"/>
      <c r="J1396"/>
      <c r="L1396"/>
      <c r="M1396"/>
      <c r="N1396"/>
      <c r="O1396"/>
      <c r="P1396"/>
      <c r="Q1396"/>
      <c r="R1396"/>
      <c r="S1396"/>
    </row>
    <row r="1397" spans="7:19" x14ac:dyDescent="0.25">
      <c r="G1397"/>
      <c r="H1397"/>
      <c r="I1397"/>
      <c r="J1397"/>
      <c r="L1397"/>
      <c r="M1397"/>
      <c r="N1397"/>
      <c r="O1397"/>
      <c r="P1397"/>
      <c r="Q1397"/>
      <c r="R1397"/>
      <c r="S1397"/>
    </row>
    <row r="1398" spans="7:19" x14ac:dyDescent="0.25">
      <c r="G1398"/>
      <c r="H1398"/>
      <c r="I1398"/>
      <c r="J1398"/>
      <c r="L1398"/>
      <c r="M1398"/>
      <c r="N1398"/>
      <c r="O1398"/>
      <c r="P1398"/>
      <c r="Q1398"/>
      <c r="R1398"/>
      <c r="S1398"/>
    </row>
    <row r="1399" spans="7:19" x14ac:dyDescent="0.25">
      <c r="G1399"/>
      <c r="H1399"/>
      <c r="I1399"/>
      <c r="J1399"/>
      <c r="L1399"/>
      <c r="M1399"/>
      <c r="N1399"/>
      <c r="O1399"/>
      <c r="P1399"/>
      <c r="Q1399"/>
      <c r="R1399"/>
      <c r="S1399"/>
    </row>
    <row r="1400" spans="7:19" x14ac:dyDescent="0.25">
      <c r="G1400"/>
      <c r="H1400"/>
      <c r="I1400"/>
      <c r="J1400"/>
      <c r="L1400"/>
      <c r="M1400"/>
      <c r="N1400"/>
      <c r="O1400"/>
      <c r="P1400"/>
      <c r="Q1400"/>
      <c r="R1400"/>
      <c r="S1400"/>
    </row>
    <row r="1401" spans="7:19" x14ac:dyDescent="0.25">
      <c r="G1401"/>
      <c r="H1401"/>
      <c r="I1401"/>
      <c r="J1401"/>
      <c r="L1401"/>
      <c r="M1401"/>
      <c r="N1401"/>
      <c r="O1401"/>
      <c r="P1401"/>
      <c r="Q1401"/>
      <c r="R1401"/>
      <c r="S1401"/>
    </row>
    <row r="1402" spans="7:19" x14ac:dyDescent="0.25">
      <c r="G1402"/>
      <c r="H1402"/>
      <c r="I1402"/>
      <c r="J1402"/>
      <c r="L1402"/>
      <c r="M1402"/>
      <c r="N1402"/>
      <c r="O1402"/>
      <c r="P1402"/>
      <c r="Q1402"/>
      <c r="R1402"/>
      <c r="S1402"/>
    </row>
    <row r="1403" spans="7:19" x14ac:dyDescent="0.25">
      <c r="G1403"/>
      <c r="H1403"/>
      <c r="I1403"/>
      <c r="J1403"/>
      <c r="L1403"/>
      <c r="M1403"/>
      <c r="N1403"/>
      <c r="O1403"/>
      <c r="P1403"/>
      <c r="Q1403"/>
      <c r="R1403"/>
      <c r="S1403"/>
    </row>
    <row r="1404" spans="7:19" x14ac:dyDescent="0.25">
      <c r="G1404"/>
      <c r="H1404"/>
      <c r="I1404"/>
      <c r="J1404"/>
      <c r="L1404"/>
      <c r="M1404"/>
      <c r="N1404"/>
      <c r="O1404"/>
      <c r="P1404"/>
      <c r="Q1404"/>
      <c r="R1404"/>
      <c r="S1404"/>
    </row>
    <row r="1405" spans="7:19" x14ac:dyDescent="0.25">
      <c r="G1405"/>
      <c r="H1405"/>
      <c r="I1405"/>
      <c r="J1405"/>
      <c r="L1405"/>
      <c r="M1405"/>
      <c r="N1405"/>
      <c r="O1405"/>
      <c r="P1405"/>
      <c r="Q1405"/>
      <c r="R1405"/>
      <c r="S1405"/>
    </row>
    <row r="1406" spans="7:19" x14ac:dyDescent="0.25">
      <c r="G1406"/>
      <c r="H1406"/>
      <c r="I1406"/>
      <c r="J1406"/>
      <c r="L1406"/>
      <c r="M1406"/>
      <c r="N1406"/>
      <c r="O1406"/>
      <c r="P1406"/>
      <c r="Q1406"/>
      <c r="R1406"/>
      <c r="S1406"/>
    </row>
    <row r="1407" spans="7:19" x14ac:dyDescent="0.25">
      <c r="G1407"/>
      <c r="H1407"/>
      <c r="I1407"/>
      <c r="J1407"/>
      <c r="L1407"/>
      <c r="M1407"/>
      <c r="N1407"/>
      <c r="O1407"/>
      <c r="P1407"/>
      <c r="Q1407"/>
      <c r="R1407"/>
      <c r="S1407"/>
    </row>
    <row r="1408" spans="7:19" x14ac:dyDescent="0.25">
      <c r="G1408"/>
      <c r="H1408"/>
      <c r="I1408"/>
      <c r="J1408"/>
      <c r="L1408"/>
      <c r="M1408"/>
      <c r="N1408"/>
      <c r="O1408"/>
      <c r="P1408"/>
      <c r="Q1408"/>
      <c r="R1408"/>
      <c r="S1408"/>
    </row>
    <row r="1409" spans="7:19" x14ac:dyDescent="0.25">
      <c r="G1409"/>
      <c r="H1409"/>
      <c r="I1409"/>
      <c r="J1409"/>
      <c r="L1409"/>
      <c r="M1409"/>
      <c r="N1409"/>
      <c r="O1409"/>
      <c r="P1409"/>
      <c r="Q1409"/>
      <c r="R1409"/>
      <c r="S1409"/>
    </row>
    <row r="1410" spans="7:19" x14ac:dyDescent="0.25">
      <c r="G1410"/>
      <c r="H1410"/>
      <c r="I1410"/>
      <c r="J1410"/>
      <c r="L1410"/>
      <c r="M1410"/>
      <c r="N1410"/>
      <c r="O1410"/>
      <c r="P1410"/>
      <c r="Q1410"/>
      <c r="R1410"/>
      <c r="S1410"/>
    </row>
    <row r="1411" spans="7:19" x14ac:dyDescent="0.25">
      <c r="G1411"/>
      <c r="H1411"/>
      <c r="I1411"/>
      <c r="J1411"/>
      <c r="L1411"/>
      <c r="M1411"/>
      <c r="N1411"/>
      <c r="O1411"/>
      <c r="P1411"/>
      <c r="Q1411"/>
      <c r="R1411"/>
      <c r="S1411"/>
    </row>
    <row r="1412" spans="7:19" x14ac:dyDescent="0.25">
      <c r="G1412"/>
      <c r="H1412"/>
      <c r="I1412"/>
      <c r="J1412"/>
      <c r="L1412"/>
      <c r="M1412"/>
      <c r="N1412"/>
      <c r="O1412"/>
      <c r="P1412"/>
      <c r="Q1412"/>
      <c r="R1412"/>
      <c r="S1412"/>
    </row>
    <row r="1413" spans="7:19" x14ac:dyDescent="0.25">
      <c r="G1413"/>
      <c r="H1413"/>
      <c r="I1413"/>
      <c r="J1413"/>
      <c r="L1413"/>
      <c r="M1413"/>
      <c r="N1413"/>
      <c r="O1413"/>
      <c r="P1413"/>
      <c r="Q1413"/>
      <c r="R1413"/>
      <c r="S1413"/>
    </row>
    <row r="1414" spans="7:19" x14ac:dyDescent="0.25">
      <c r="G1414"/>
      <c r="H1414"/>
      <c r="I1414"/>
      <c r="J1414"/>
      <c r="L1414"/>
      <c r="M1414"/>
      <c r="N1414"/>
      <c r="O1414"/>
      <c r="P1414"/>
      <c r="Q1414"/>
      <c r="R1414"/>
      <c r="S1414"/>
    </row>
    <row r="1415" spans="7:19" x14ac:dyDescent="0.25">
      <c r="G1415"/>
      <c r="H1415"/>
      <c r="I1415"/>
      <c r="J1415"/>
      <c r="L1415"/>
      <c r="M1415"/>
      <c r="N1415"/>
      <c r="O1415"/>
      <c r="P1415"/>
      <c r="Q1415"/>
      <c r="R1415"/>
      <c r="S1415"/>
    </row>
    <row r="1416" spans="7:19" x14ac:dyDescent="0.25">
      <c r="G1416"/>
      <c r="H1416"/>
      <c r="I1416"/>
      <c r="J1416"/>
      <c r="L1416"/>
      <c r="M1416"/>
      <c r="N1416"/>
      <c r="O1416"/>
      <c r="P1416"/>
      <c r="Q1416"/>
      <c r="R1416"/>
      <c r="S1416"/>
    </row>
    <row r="1417" spans="7:19" x14ac:dyDescent="0.25">
      <c r="G1417"/>
      <c r="H1417"/>
      <c r="I1417"/>
      <c r="J1417"/>
      <c r="L1417"/>
      <c r="M1417"/>
      <c r="N1417"/>
      <c r="O1417"/>
      <c r="P1417"/>
      <c r="Q1417"/>
      <c r="R1417"/>
      <c r="S1417"/>
    </row>
    <row r="1418" spans="7:19" x14ac:dyDescent="0.25">
      <c r="G1418"/>
      <c r="H1418"/>
      <c r="I1418"/>
      <c r="J1418"/>
      <c r="L1418"/>
      <c r="M1418"/>
      <c r="N1418"/>
      <c r="O1418"/>
      <c r="P1418"/>
      <c r="Q1418"/>
      <c r="R1418"/>
      <c r="S1418"/>
    </row>
    <row r="1419" spans="7:19" x14ac:dyDescent="0.25">
      <c r="G1419"/>
      <c r="H1419"/>
      <c r="I1419"/>
      <c r="J1419"/>
      <c r="L1419"/>
      <c r="M1419"/>
      <c r="N1419"/>
      <c r="O1419"/>
      <c r="P1419"/>
      <c r="Q1419"/>
      <c r="R1419"/>
      <c r="S1419"/>
    </row>
    <row r="1420" spans="7:19" x14ac:dyDescent="0.25">
      <c r="G1420"/>
      <c r="H1420"/>
      <c r="I1420"/>
      <c r="J1420"/>
      <c r="L1420"/>
      <c r="M1420"/>
      <c r="N1420"/>
      <c r="O1420"/>
      <c r="P1420"/>
      <c r="Q1420"/>
      <c r="R1420"/>
      <c r="S1420"/>
    </row>
    <row r="1421" spans="7:19" x14ac:dyDescent="0.25">
      <c r="G1421"/>
      <c r="H1421"/>
      <c r="I1421"/>
      <c r="J1421"/>
      <c r="L1421"/>
      <c r="M1421"/>
      <c r="N1421"/>
      <c r="O1421"/>
      <c r="P1421"/>
      <c r="Q1421"/>
      <c r="R1421"/>
      <c r="S1421"/>
    </row>
    <row r="1422" spans="7:19" x14ac:dyDescent="0.25">
      <c r="G1422"/>
      <c r="H1422"/>
      <c r="I1422"/>
      <c r="J1422"/>
      <c r="L1422"/>
      <c r="M1422"/>
      <c r="N1422"/>
      <c r="O1422"/>
      <c r="P1422"/>
      <c r="Q1422"/>
      <c r="R1422"/>
      <c r="S1422"/>
    </row>
    <row r="1423" spans="7:19" x14ac:dyDescent="0.25">
      <c r="G1423"/>
      <c r="H1423"/>
      <c r="I1423"/>
      <c r="J1423"/>
      <c r="L1423"/>
      <c r="M1423"/>
      <c r="N1423"/>
      <c r="O1423"/>
      <c r="P1423"/>
      <c r="Q1423"/>
      <c r="R1423"/>
      <c r="S1423"/>
    </row>
    <row r="1424" spans="7:19" x14ac:dyDescent="0.25">
      <c r="G1424"/>
      <c r="H1424"/>
      <c r="I1424"/>
      <c r="J1424"/>
      <c r="L1424"/>
      <c r="M1424"/>
      <c r="N1424"/>
      <c r="O1424"/>
      <c r="P1424"/>
      <c r="Q1424"/>
      <c r="R1424"/>
      <c r="S1424"/>
    </row>
    <row r="1425" spans="7:19" x14ac:dyDescent="0.25">
      <c r="G1425"/>
      <c r="H1425"/>
      <c r="I1425"/>
      <c r="J1425"/>
      <c r="L1425"/>
      <c r="M1425"/>
      <c r="N1425"/>
      <c r="O1425"/>
      <c r="P1425"/>
      <c r="Q1425"/>
      <c r="R1425"/>
      <c r="S1425"/>
    </row>
    <row r="1426" spans="7:19" x14ac:dyDescent="0.25">
      <c r="G1426"/>
      <c r="H1426"/>
      <c r="I1426"/>
      <c r="J1426"/>
      <c r="L1426"/>
      <c r="M1426"/>
      <c r="N1426"/>
      <c r="O1426"/>
      <c r="P1426"/>
      <c r="Q1426"/>
      <c r="R1426"/>
      <c r="S1426"/>
    </row>
    <row r="1427" spans="7:19" x14ac:dyDescent="0.25">
      <c r="G1427"/>
      <c r="H1427"/>
      <c r="I1427"/>
      <c r="J1427"/>
      <c r="L1427"/>
      <c r="M1427"/>
      <c r="N1427"/>
      <c r="O1427"/>
      <c r="P1427"/>
      <c r="Q1427"/>
      <c r="R1427"/>
      <c r="S1427"/>
    </row>
    <row r="1428" spans="7:19" x14ac:dyDescent="0.25">
      <c r="G1428"/>
      <c r="H1428"/>
      <c r="I1428"/>
      <c r="J1428"/>
      <c r="L1428"/>
      <c r="M1428"/>
      <c r="N1428"/>
      <c r="O1428"/>
      <c r="P1428"/>
      <c r="Q1428"/>
      <c r="R1428"/>
      <c r="S1428"/>
    </row>
    <row r="1429" spans="7:19" x14ac:dyDescent="0.25">
      <c r="G1429"/>
      <c r="H1429"/>
      <c r="I1429"/>
      <c r="J1429"/>
      <c r="L1429"/>
      <c r="M1429"/>
      <c r="N1429"/>
      <c r="O1429"/>
      <c r="P1429"/>
      <c r="Q1429"/>
      <c r="R1429"/>
      <c r="S1429"/>
    </row>
    <row r="1430" spans="7:19" x14ac:dyDescent="0.25">
      <c r="G1430"/>
      <c r="H1430"/>
      <c r="I1430"/>
      <c r="J1430"/>
      <c r="L1430"/>
      <c r="M1430"/>
      <c r="N1430"/>
      <c r="O1430"/>
      <c r="P1430"/>
      <c r="Q1430"/>
      <c r="R1430"/>
      <c r="S1430"/>
    </row>
    <row r="1431" spans="7:19" x14ac:dyDescent="0.25">
      <c r="G1431"/>
      <c r="H1431"/>
      <c r="I1431"/>
      <c r="J1431"/>
      <c r="L1431"/>
      <c r="M1431"/>
      <c r="N1431"/>
      <c r="O1431"/>
      <c r="P1431"/>
      <c r="Q1431"/>
      <c r="R1431"/>
      <c r="S1431"/>
    </row>
    <row r="1432" spans="7:19" x14ac:dyDescent="0.25">
      <c r="G1432"/>
      <c r="H1432"/>
      <c r="I1432"/>
      <c r="J1432"/>
      <c r="L1432"/>
      <c r="M1432"/>
      <c r="N1432"/>
      <c r="O1432"/>
      <c r="P1432"/>
      <c r="Q1432"/>
      <c r="R1432"/>
      <c r="S1432"/>
    </row>
    <row r="1433" spans="7:19" x14ac:dyDescent="0.25">
      <c r="G1433"/>
      <c r="H1433"/>
      <c r="I1433"/>
      <c r="J1433"/>
      <c r="L1433"/>
      <c r="M1433"/>
      <c r="N1433"/>
      <c r="O1433"/>
      <c r="P1433"/>
      <c r="Q1433"/>
      <c r="R1433"/>
      <c r="S1433"/>
    </row>
    <row r="1434" spans="7:19" x14ac:dyDescent="0.25">
      <c r="G1434"/>
      <c r="H1434"/>
      <c r="I1434"/>
      <c r="J1434"/>
      <c r="L1434"/>
      <c r="M1434"/>
      <c r="N1434"/>
      <c r="O1434"/>
      <c r="P1434"/>
      <c r="Q1434"/>
      <c r="R1434"/>
      <c r="S1434"/>
    </row>
    <row r="1435" spans="7:19" x14ac:dyDescent="0.25">
      <c r="G1435"/>
      <c r="H1435"/>
      <c r="I1435"/>
      <c r="J1435"/>
      <c r="L1435"/>
      <c r="M1435"/>
      <c r="N1435"/>
      <c r="O1435"/>
      <c r="P1435"/>
      <c r="Q1435"/>
      <c r="R1435"/>
      <c r="S1435"/>
    </row>
    <row r="1436" spans="7:19" x14ac:dyDescent="0.25">
      <c r="G1436"/>
      <c r="H1436"/>
      <c r="I1436"/>
      <c r="J1436"/>
      <c r="L1436"/>
      <c r="M1436"/>
      <c r="N1436"/>
      <c r="O1436"/>
      <c r="P1436"/>
      <c r="Q1436"/>
      <c r="R1436"/>
      <c r="S1436"/>
    </row>
    <row r="1437" spans="7:19" x14ac:dyDescent="0.25">
      <c r="G1437"/>
      <c r="H1437"/>
      <c r="I1437"/>
      <c r="J1437"/>
      <c r="L1437"/>
      <c r="M1437"/>
      <c r="N1437"/>
      <c r="O1437"/>
      <c r="P1437"/>
      <c r="Q1437"/>
      <c r="R1437"/>
      <c r="S1437"/>
    </row>
    <row r="1438" spans="7:19" x14ac:dyDescent="0.25">
      <c r="G1438"/>
      <c r="H1438"/>
      <c r="I1438"/>
      <c r="J1438"/>
      <c r="L1438"/>
      <c r="M1438"/>
      <c r="N1438"/>
      <c r="O1438"/>
      <c r="P1438"/>
      <c r="Q1438"/>
      <c r="R1438"/>
      <c r="S1438"/>
    </row>
    <row r="1439" spans="7:19" x14ac:dyDescent="0.25">
      <c r="G1439"/>
      <c r="H1439"/>
      <c r="I1439"/>
      <c r="J1439"/>
      <c r="L1439"/>
      <c r="M1439"/>
      <c r="N1439"/>
      <c r="O1439"/>
      <c r="P1439"/>
      <c r="Q1439"/>
      <c r="R1439"/>
      <c r="S1439"/>
    </row>
    <row r="1440" spans="7:19" x14ac:dyDescent="0.25">
      <c r="G1440"/>
      <c r="H1440"/>
      <c r="I1440"/>
      <c r="J1440"/>
      <c r="L1440"/>
      <c r="M1440"/>
      <c r="N1440"/>
      <c r="O1440"/>
      <c r="P1440"/>
      <c r="Q1440"/>
      <c r="R1440"/>
      <c r="S1440"/>
    </row>
    <row r="1441" spans="7:19" x14ac:dyDescent="0.25">
      <c r="G1441"/>
      <c r="H1441"/>
      <c r="I1441"/>
      <c r="J1441"/>
      <c r="L1441"/>
      <c r="M1441"/>
      <c r="N1441"/>
      <c r="O1441"/>
      <c r="P1441"/>
      <c r="Q1441"/>
      <c r="R1441"/>
      <c r="S1441"/>
    </row>
    <row r="1442" spans="7:19" x14ac:dyDescent="0.25">
      <c r="G1442"/>
      <c r="H1442"/>
      <c r="I1442"/>
      <c r="J1442"/>
      <c r="L1442"/>
      <c r="M1442"/>
      <c r="N1442"/>
      <c r="O1442"/>
      <c r="P1442"/>
      <c r="Q1442"/>
      <c r="R1442"/>
      <c r="S1442"/>
    </row>
    <row r="1443" spans="7:19" x14ac:dyDescent="0.25">
      <c r="G1443"/>
      <c r="H1443"/>
      <c r="I1443"/>
      <c r="J1443"/>
      <c r="L1443"/>
      <c r="M1443"/>
      <c r="N1443"/>
      <c r="O1443"/>
      <c r="P1443"/>
      <c r="Q1443"/>
      <c r="R1443"/>
      <c r="S1443"/>
    </row>
    <row r="1444" spans="7:19" x14ac:dyDescent="0.25">
      <c r="G1444"/>
      <c r="H1444"/>
      <c r="I1444"/>
      <c r="J1444"/>
      <c r="L1444"/>
      <c r="M1444"/>
      <c r="N1444"/>
      <c r="O1444"/>
      <c r="P1444"/>
      <c r="Q1444"/>
      <c r="R1444"/>
      <c r="S1444"/>
    </row>
    <row r="1445" spans="7:19" x14ac:dyDescent="0.25">
      <c r="G1445"/>
      <c r="H1445"/>
      <c r="I1445"/>
      <c r="J1445"/>
      <c r="L1445"/>
      <c r="M1445"/>
      <c r="N1445"/>
      <c r="O1445"/>
      <c r="P1445"/>
      <c r="Q1445"/>
      <c r="R1445"/>
      <c r="S1445"/>
    </row>
    <row r="1446" spans="7:19" x14ac:dyDescent="0.25">
      <c r="G1446"/>
      <c r="H1446"/>
      <c r="I1446"/>
      <c r="J1446"/>
      <c r="L1446"/>
      <c r="M1446"/>
      <c r="N1446"/>
      <c r="O1446"/>
      <c r="P1446"/>
      <c r="Q1446"/>
      <c r="R1446"/>
      <c r="S1446"/>
    </row>
    <row r="1447" spans="7:19" x14ac:dyDescent="0.25">
      <c r="G1447"/>
      <c r="H1447"/>
      <c r="I1447"/>
      <c r="J1447"/>
      <c r="L1447"/>
      <c r="M1447"/>
      <c r="N1447"/>
      <c r="O1447"/>
      <c r="P1447"/>
      <c r="Q1447"/>
      <c r="R1447"/>
      <c r="S1447"/>
    </row>
    <row r="1448" spans="7:19" x14ac:dyDescent="0.25">
      <c r="G1448"/>
      <c r="H1448"/>
      <c r="I1448"/>
      <c r="J1448"/>
      <c r="L1448"/>
      <c r="M1448"/>
      <c r="N1448"/>
      <c r="O1448"/>
      <c r="P1448"/>
      <c r="Q1448"/>
      <c r="R1448"/>
      <c r="S1448"/>
    </row>
    <row r="1449" spans="7:19" x14ac:dyDescent="0.25">
      <c r="G1449"/>
      <c r="H1449"/>
      <c r="I1449"/>
      <c r="J1449"/>
      <c r="L1449"/>
      <c r="M1449"/>
      <c r="N1449"/>
      <c r="O1449"/>
      <c r="P1449"/>
      <c r="Q1449"/>
      <c r="R1449"/>
      <c r="S1449"/>
    </row>
    <row r="1450" spans="7:19" x14ac:dyDescent="0.25">
      <c r="G1450"/>
      <c r="H1450"/>
      <c r="I1450"/>
      <c r="J1450"/>
      <c r="L1450"/>
      <c r="M1450"/>
      <c r="N1450"/>
      <c r="O1450"/>
      <c r="P1450"/>
      <c r="Q1450"/>
      <c r="R1450"/>
      <c r="S1450"/>
    </row>
    <row r="1451" spans="7:19" x14ac:dyDescent="0.25">
      <c r="G1451"/>
      <c r="H1451"/>
      <c r="I1451"/>
      <c r="J1451"/>
      <c r="L1451"/>
      <c r="M1451"/>
      <c r="N1451"/>
      <c r="O1451"/>
      <c r="P1451"/>
      <c r="Q1451"/>
      <c r="R1451"/>
      <c r="S1451"/>
    </row>
    <row r="1452" spans="7:19" x14ac:dyDescent="0.25">
      <c r="G1452"/>
      <c r="H1452"/>
      <c r="I1452"/>
      <c r="J1452"/>
      <c r="L1452"/>
      <c r="M1452"/>
      <c r="N1452"/>
      <c r="O1452"/>
      <c r="P1452"/>
      <c r="Q1452"/>
      <c r="R1452"/>
      <c r="S1452"/>
    </row>
    <row r="1453" spans="7:19" x14ac:dyDescent="0.25">
      <c r="G1453"/>
      <c r="H1453"/>
      <c r="I1453"/>
      <c r="J1453"/>
      <c r="L1453"/>
      <c r="M1453"/>
      <c r="N1453"/>
      <c r="O1453"/>
      <c r="P1453"/>
      <c r="Q1453"/>
      <c r="R1453"/>
      <c r="S1453"/>
    </row>
    <row r="1454" spans="7:19" x14ac:dyDescent="0.25">
      <c r="G1454"/>
      <c r="H1454"/>
      <c r="I1454"/>
      <c r="J1454"/>
      <c r="L1454"/>
      <c r="M1454"/>
      <c r="N1454"/>
      <c r="O1454"/>
      <c r="P1454"/>
      <c r="Q1454"/>
      <c r="R1454"/>
      <c r="S1454"/>
    </row>
    <row r="1455" spans="7:19" x14ac:dyDescent="0.25">
      <c r="G1455"/>
      <c r="H1455"/>
      <c r="I1455"/>
      <c r="J1455"/>
      <c r="L1455"/>
      <c r="M1455"/>
      <c r="N1455"/>
      <c r="O1455"/>
      <c r="P1455"/>
      <c r="Q1455"/>
      <c r="R1455"/>
      <c r="S1455"/>
    </row>
    <row r="1456" spans="7:19" x14ac:dyDescent="0.25">
      <c r="G1456"/>
      <c r="H1456"/>
      <c r="I1456"/>
      <c r="J1456"/>
      <c r="L1456"/>
      <c r="M1456"/>
      <c r="N1456"/>
      <c r="O1456"/>
      <c r="P1456"/>
      <c r="Q1456"/>
      <c r="R1456"/>
      <c r="S1456"/>
    </row>
    <row r="1457" spans="7:19" x14ac:dyDescent="0.25">
      <c r="G1457"/>
      <c r="H1457"/>
      <c r="I1457"/>
      <c r="J1457"/>
      <c r="L1457"/>
      <c r="M1457"/>
      <c r="N1457"/>
      <c r="O1457"/>
      <c r="P1457"/>
      <c r="Q1457"/>
      <c r="R1457"/>
      <c r="S1457"/>
    </row>
    <row r="1458" spans="7:19" x14ac:dyDescent="0.25">
      <c r="G1458"/>
      <c r="H1458"/>
      <c r="I1458"/>
      <c r="J1458"/>
      <c r="L1458"/>
      <c r="M1458"/>
      <c r="N1458"/>
      <c r="O1458"/>
      <c r="P1458"/>
      <c r="Q1458"/>
      <c r="R1458"/>
      <c r="S1458"/>
    </row>
    <row r="1459" spans="7:19" x14ac:dyDescent="0.25">
      <c r="G1459"/>
      <c r="H1459"/>
      <c r="I1459"/>
      <c r="J1459"/>
      <c r="L1459"/>
      <c r="M1459"/>
      <c r="N1459"/>
      <c r="O1459"/>
      <c r="P1459"/>
      <c r="Q1459"/>
      <c r="R1459"/>
      <c r="S1459"/>
    </row>
    <row r="1460" spans="7:19" x14ac:dyDescent="0.25">
      <c r="G1460"/>
      <c r="H1460"/>
      <c r="I1460"/>
      <c r="J1460"/>
      <c r="L1460"/>
      <c r="M1460"/>
      <c r="N1460"/>
      <c r="O1460"/>
      <c r="P1460"/>
      <c r="Q1460"/>
      <c r="R1460"/>
      <c r="S1460"/>
    </row>
    <row r="1461" spans="7:19" x14ac:dyDescent="0.25">
      <c r="G1461"/>
      <c r="H1461"/>
      <c r="I1461"/>
      <c r="J1461"/>
      <c r="L1461"/>
      <c r="M1461"/>
      <c r="N1461"/>
      <c r="O1461"/>
      <c r="P1461"/>
      <c r="Q1461"/>
      <c r="R1461"/>
      <c r="S1461"/>
    </row>
    <row r="1462" spans="7:19" x14ac:dyDescent="0.25">
      <c r="G1462"/>
      <c r="H1462"/>
      <c r="I1462"/>
      <c r="J1462"/>
      <c r="L1462"/>
      <c r="M1462"/>
      <c r="N1462"/>
      <c r="O1462"/>
      <c r="P1462"/>
      <c r="Q1462"/>
      <c r="R1462"/>
      <c r="S1462"/>
    </row>
    <row r="1463" spans="7:19" x14ac:dyDescent="0.25">
      <c r="G1463"/>
      <c r="H1463"/>
      <c r="I1463"/>
      <c r="J1463"/>
      <c r="L1463"/>
      <c r="M1463"/>
      <c r="N1463"/>
      <c r="O1463"/>
      <c r="P1463"/>
      <c r="Q1463"/>
      <c r="R1463"/>
      <c r="S1463"/>
    </row>
    <row r="1464" spans="7:19" x14ac:dyDescent="0.25">
      <c r="G1464"/>
      <c r="H1464"/>
      <c r="I1464"/>
      <c r="J1464"/>
      <c r="L1464"/>
      <c r="M1464"/>
      <c r="N1464"/>
      <c r="O1464"/>
      <c r="P1464"/>
      <c r="Q1464"/>
      <c r="R1464"/>
      <c r="S1464"/>
    </row>
    <row r="1465" spans="7:19" x14ac:dyDescent="0.25">
      <c r="G1465"/>
      <c r="H1465"/>
      <c r="I1465"/>
      <c r="J1465"/>
      <c r="L1465"/>
      <c r="M1465"/>
      <c r="N1465"/>
      <c r="O1465"/>
      <c r="P1465"/>
      <c r="Q1465"/>
      <c r="R1465"/>
      <c r="S1465"/>
    </row>
    <row r="1466" spans="7:19" x14ac:dyDescent="0.25">
      <c r="G1466"/>
      <c r="H1466"/>
      <c r="I1466"/>
      <c r="J1466"/>
      <c r="L1466"/>
      <c r="M1466"/>
      <c r="N1466"/>
      <c r="O1466"/>
      <c r="P1466"/>
      <c r="Q1466"/>
      <c r="R1466"/>
      <c r="S1466"/>
    </row>
    <row r="1467" spans="7:19" x14ac:dyDescent="0.25">
      <c r="G1467"/>
      <c r="H1467"/>
      <c r="I1467"/>
      <c r="J1467"/>
      <c r="L1467"/>
      <c r="M1467"/>
      <c r="N1467"/>
      <c r="O1467"/>
      <c r="P1467"/>
      <c r="Q1467"/>
      <c r="R1467"/>
      <c r="S1467"/>
    </row>
    <row r="1468" spans="7:19" x14ac:dyDescent="0.25">
      <c r="G1468"/>
      <c r="H1468"/>
      <c r="I1468"/>
      <c r="J1468"/>
      <c r="L1468"/>
      <c r="M1468"/>
      <c r="N1468"/>
      <c r="O1468"/>
      <c r="P1468"/>
      <c r="Q1468"/>
      <c r="R1468"/>
      <c r="S1468"/>
    </row>
    <row r="1469" spans="7:19" x14ac:dyDescent="0.25">
      <c r="G1469"/>
      <c r="H1469"/>
      <c r="I1469"/>
      <c r="J1469"/>
      <c r="L1469"/>
      <c r="M1469"/>
      <c r="N1469"/>
      <c r="O1469"/>
      <c r="P1469"/>
      <c r="Q1469"/>
      <c r="R1469"/>
      <c r="S1469"/>
    </row>
    <row r="1470" spans="7:19" x14ac:dyDescent="0.25">
      <c r="G1470"/>
      <c r="H1470"/>
      <c r="I1470"/>
      <c r="J1470"/>
      <c r="L1470"/>
      <c r="M1470"/>
      <c r="N1470"/>
      <c r="O1470"/>
      <c r="P1470"/>
      <c r="Q1470"/>
      <c r="R1470"/>
      <c r="S1470"/>
    </row>
    <row r="1471" spans="7:19" x14ac:dyDescent="0.25">
      <c r="G1471"/>
      <c r="H1471"/>
      <c r="I1471"/>
      <c r="J1471"/>
      <c r="L1471"/>
      <c r="M1471"/>
      <c r="N1471"/>
      <c r="O1471"/>
      <c r="P1471"/>
      <c r="Q1471"/>
      <c r="R1471"/>
      <c r="S1471"/>
    </row>
    <row r="1472" spans="7:19" x14ac:dyDescent="0.25">
      <c r="G1472"/>
      <c r="H1472"/>
      <c r="I1472"/>
      <c r="J1472"/>
      <c r="L1472"/>
      <c r="M1472"/>
      <c r="N1472"/>
      <c r="O1472"/>
      <c r="P1472"/>
      <c r="Q1472"/>
      <c r="R1472"/>
      <c r="S1472"/>
    </row>
    <row r="1473" spans="7:19" x14ac:dyDescent="0.25">
      <c r="G1473"/>
      <c r="H1473"/>
      <c r="I1473"/>
      <c r="J1473"/>
      <c r="L1473"/>
      <c r="M1473"/>
      <c r="N1473"/>
      <c r="O1473"/>
      <c r="P1473"/>
      <c r="Q1473"/>
      <c r="R1473"/>
      <c r="S1473"/>
    </row>
    <row r="1474" spans="7:19" x14ac:dyDescent="0.25">
      <c r="G1474"/>
      <c r="H1474"/>
      <c r="I1474"/>
      <c r="J1474"/>
      <c r="L1474"/>
      <c r="M1474"/>
      <c r="N1474"/>
      <c r="O1474"/>
      <c r="P1474"/>
      <c r="Q1474"/>
      <c r="R1474"/>
      <c r="S1474"/>
    </row>
    <row r="1475" spans="7:19" x14ac:dyDescent="0.25">
      <c r="G1475"/>
      <c r="H1475"/>
      <c r="I1475"/>
      <c r="J1475"/>
      <c r="L1475"/>
      <c r="M1475"/>
      <c r="N1475"/>
      <c r="O1475"/>
      <c r="P1475"/>
      <c r="Q1475"/>
      <c r="R1475"/>
      <c r="S1475"/>
    </row>
    <row r="1476" spans="7:19" x14ac:dyDescent="0.25">
      <c r="G1476"/>
      <c r="H1476"/>
      <c r="I1476"/>
      <c r="J1476"/>
      <c r="L1476"/>
      <c r="M1476"/>
      <c r="N1476"/>
      <c r="O1476"/>
      <c r="P1476"/>
      <c r="Q1476"/>
      <c r="R1476"/>
      <c r="S1476"/>
    </row>
    <row r="1477" spans="7:19" x14ac:dyDescent="0.25">
      <c r="G1477"/>
      <c r="H1477"/>
      <c r="I1477"/>
      <c r="J1477"/>
      <c r="L1477"/>
      <c r="M1477"/>
      <c r="N1477"/>
      <c r="O1477"/>
      <c r="P1477"/>
      <c r="Q1477"/>
      <c r="R1477"/>
      <c r="S1477"/>
    </row>
    <row r="1478" spans="7:19" x14ac:dyDescent="0.25">
      <c r="G1478"/>
      <c r="H1478"/>
      <c r="I1478"/>
      <c r="J1478"/>
      <c r="L1478"/>
      <c r="M1478"/>
      <c r="N1478"/>
      <c r="O1478"/>
      <c r="P1478"/>
      <c r="Q1478"/>
      <c r="R1478"/>
      <c r="S1478"/>
    </row>
    <row r="1479" spans="7:19" x14ac:dyDescent="0.25">
      <c r="G1479"/>
      <c r="H1479"/>
      <c r="I1479"/>
      <c r="J1479"/>
      <c r="L1479"/>
      <c r="M1479"/>
      <c r="N1479"/>
      <c r="O1479"/>
      <c r="P1479"/>
      <c r="Q1479"/>
      <c r="R1479"/>
      <c r="S1479"/>
    </row>
    <row r="1480" spans="7:19" x14ac:dyDescent="0.25">
      <c r="G1480"/>
      <c r="H1480"/>
      <c r="I1480"/>
      <c r="J1480"/>
      <c r="L1480"/>
      <c r="M1480"/>
      <c r="N1480"/>
      <c r="O1480"/>
      <c r="P1480"/>
      <c r="Q1480"/>
      <c r="R1480"/>
      <c r="S1480"/>
    </row>
    <row r="1481" spans="7:19" x14ac:dyDescent="0.25">
      <c r="G1481"/>
      <c r="H1481"/>
      <c r="I1481"/>
      <c r="J1481"/>
      <c r="L1481"/>
      <c r="M1481"/>
      <c r="N1481"/>
      <c r="O1481"/>
      <c r="P1481"/>
      <c r="Q1481"/>
      <c r="R1481"/>
      <c r="S1481"/>
    </row>
    <row r="1482" spans="7:19" x14ac:dyDescent="0.25">
      <c r="G1482"/>
      <c r="H1482"/>
      <c r="I1482"/>
      <c r="J1482"/>
      <c r="L1482"/>
      <c r="M1482"/>
      <c r="N1482"/>
      <c r="O1482"/>
      <c r="P1482"/>
      <c r="Q1482"/>
      <c r="R1482"/>
      <c r="S1482"/>
    </row>
    <row r="1483" spans="7:19" x14ac:dyDescent="0.25">
      <c r="G1483"/>
      <c r="H1483"/>
      <c r="I1483"/>
      <c r="J1483"/>
      <c r="L1483"/>
      <c r="M1483"/>
      <c r="N1483"/>
      <c r="O1483"/>
      <c r="P1483"/>
      <c r="Q1483"/>
      <c r="R1483"/>
      <c r="S1483"/>
    </row>
    <row r="1484" spans="7:19" x14ac:dyDescent="0.25">
      <c r="G1484"/>
      <c r="H1484"/>
      <c r="I1484"/>
      <c r="J1484"/>
      <c r="L1484"/>
      <c r="M1484"/>
      <c r="N1484"/>
      <c r="O1484"/>
      <c r="P1484"/>
      <c r="Q1484"/>
      <c r="R1484"/>
      <c r="S1484"/>
    </row>
    <row r="1485" spans="7:19" x14ac:dyDescent="0.25">
      <c r="G1485"/>
      <c r="H1485"/>
      <c r="I1485"/>
      <c r="J1485"/>
      <c r="L1485"/>
      <c r="M1485"/>
      <c r="N1485"/>
      <c r="O1485"/>
      <c r="P1485"/>
      <c r="Q1485"/>
      <c r="R1485"/>
      <c r="S1485"/>
    </row>
    <row r="1486" spans="7:19" x14ac:dyDescent="0.25">
      <c r="G1486"/>
      <c r="H1486"/>
      <c r="I1486"/>
      <c r="J1486"/>
      <c r="L1486"/>
      <c r="M1486"/>
      <c r="N1486"/>
      <c r="O1486"/>
      <c r="P1486"/>
      <c r="Q1486"/>
      <c r="R1486"/>
      <c r="S1486"/>
    </row>
    <row r="1487" spans="7:19" x14ac:dyDescent="0.25">
      <c r="G1487"/>
      <c r="H1487"/>
      <c r="I1487"/>
      <c r="J1487"/>
      <c r="L1487"/>
      <c r="M1487"/>
      <c r="N1487"/>
      <c r="O1487"/>
      <c r="P1487"/>
      <c r="Q1487"/>
      <c r="R1487"/>
      <c r="S1487"/>
    </row>
    <row r="1488" spans="7:19" x14ac:dyDescent="0.25">
      <c r="G1488"/>
      <c r="H1488"/>
      <c r="I1488"/>
      <c r="J1488"/>
      <c r="L1488"/>
      <c r="M1488"/>
      <c r="N1488"/>
      <c r="O1488"/>
      <c r="P1488"/>
      <c r="Q1488"/>
      <c r="R1488"/>
      <c r="S1488"/>
    </row>
    <row r="1489" spans="7:19" x14ac:dyDescent="0.25">
      <c r="G1489"/>
      <c r="H1489"/>
      <c r="I1489"/>
      <c r="J1489"/>
      <c r="L1489"/>
      <c r="M1489"/>
      <c r="N1489"/>
      <c r="O1489"/>
      <c r="P1489"/>
      <c r="Q1489"/>
      <c r="R1489"/>
      <c r="S1489"/>
    </row>
    <row r="1490" spans="7:19" x14ac:dyDescent="0.25">
      <c r="G1490"/>
      <c r="H1490"/>
      <c r="I1490"/>
      <c r="J1490"/>
      <c r="L1490"/>
      <c r="M1490"/>
      <c r="N1490"/>
      <c r="O1490"/>
      <c r="P1490"/>
      <c r="Q1490"/>
      <c r="R1490"/>
      <c r="S1490"/>
    </row>
    <row r="1491" spans="7:19" x14ac:dyDescent="0.25">
      <c r="G1491"/>
      <c r="H1491"/>
      <c r="I1491"/>
      <c r="J1491"/>
      <c r="L1491"/>
      <c r="M1491"/>
      <c r="N1491"/>
      <c r="O1491"/>
      <c r="P1491"/>
      <c r="Q1491"/>
      <c r="R1491"/>
      <c r="S1491"/>
    </row>
    <row r="1492" spans="7:19" x14ac:dyDescent="0.25">
      <c r="G1492"/>
      <c r="H1492"/>
      <c r="I1492"/>
      <c r="J1492"/>
      <c r="L1492"/>
      <c r="M1492"/>
      <c r="N1492"/>
      <c r="O1492"/>
      <c r="P1492"/>
      <c r="Q1492"/>
      <c r="R1492"/>
      <c r="S1492"/>
    </row>
    <row r="1493" spans="7:19" x14ac:dyDescent="0.25">
      <c r="G1493"/>
      <c r="H1493"/>
      <c r="I1493"/>
      <c r="J1493"/>
      <c r="L1493"/>
      <c r="M1493"/>
      <c r="N1493"/>
      <c r="O1493"/>
      <c r="P1493"/>
      <c r="Q1493"/>
      <c r="R1493"/>
      <c r="S1493"/>
    </row>
    <row r="1494" spans="7:19" x14ac:dyDescent="0.25">
      <c r="G1494"/>
      <c r="H1494"/>
      <c r="I1494"/>
      <c r="J1494"/>
      <c r="L1494"/>
      <c r="M1494"/>
      <c r="N1494"/>
      <c r="O1494"/>
      <c r="P1494"/>
      <c r="Q1494"/>
      <c r="R1494"/>
      <c r="S1494"/>
    </row>
    <row r="1495" spans="7:19" x14ac:dyDescent="0.25">
      <c r="G1495"/>
      <c r="H1495"/>
      <c r="I1495"/>
      <c r="J1495"/>
      <c r="L1495"/>
      <c r="M1495"/>
      <c r="N1495"/>
      <c r="O1495"/>
      <c r="P1495"/>
      <c r="Q1495"/>
      <c r="R1495"/>
      <c r="S1495"/>
    </row>
    <row r="1496" spans="7:19" x14ac:dyDescent="0.25">
      <c r="G1496"/>
      <c r="H1496"/>
      <c r="I1496"/>
      <c r="J1496"/>
      <c r="L1496"/>
      <c r="M1496"/>
      <c r="N1496"/>
      <c r="O1496"/>
      <c r="P1496"/>
      <c r="Q1496"/>
      <c r="R1496"/>
      <c r="S1496"/>
    </row>
    <row r="1497" spans="7:19" x14ac:dyDescent="0.25">
      <c r="G1497"/>
      <c r="H1497"/>
      <c r="I1497"/>
      <c r="J1497"/>
      <c r="L1497"/>
      <c r="M1497"/>
      <c r="N1497"/>
      <c r="O1497"/>
      <c r="P1497"/>
      <c r="Q1497"/>
      <c r="R1497"/>
      <c r="S1497"/>
    </row>
    <row r="1498" spans="7:19" x14ac:dyDescent="0.25">
      <c r="G1498"/>
      <c r="H1498"/>
      <c r="I1498"/>
      <c r="J1498"/>
      <c r="L1498"/>
      <c r="M1498"/>
      <c r="N1498"/>
      <c r="O1498"/>
      <c r="P1498"/>
      <c r="Q1498"/>
      <c r="R1498"/>
      <c r="S1498"/>
    </row>
    <row r="1499" spans="7:19" x14ac:dyDescent="0.25">
      <c r="G1499"/>
      <c r="H1499"/>
      <c r="I1499"/>
      <c r="J1499"/>
      <c r="L1499"/>
      <c r="M1499"/>
      <c r="N1499"/>
      <c r="O1499"/>
      <c r="P1499"/>
      <c r="Q1499"/>
      <c r="R1499"/>
      <c r="S1499"/>
    </row>
    <row r="1500" spans="7:19" x14ac:dyDescent="0.25">
      <c r="G1500"/>
      <c r="H1500"/>
      <c r="I1500"/>
      <c r="J1500"/>
      <c r="L1500"/>
      <c r="M1500"/>
      <c r="N1500"/>
      <c r="O1500"/>
      <c r="P1500"/>
      <c r="Q1500"/>
      <c r="R1500"/>
      <c r="S1500"/>
    </row>
    <row r="1501" spans="7:19" x14ac:dyDescent="0.25">
      <c r="G1501"/>
      <c r="H1501"/>
      <c r="I1501"/>
      <c r="J1501"/>
      <c r="L1501"/>
      <c r="M1501"/>
      <c r="N1501"/>
      <c r="O1501"/>
      <c r="P1501"/>
      <c r="Q1501"/>
      <c r="R1501"/>
      <c r="S1501"/>
    </row>
    <row r="1502" spans="7:19" x14ac:dyDescent="0.25">
      <c r="G1502"/>
      <c r="H1502"/>
      <c r="I1502"/>
      <c r="J1502"/>
      <c r="L1502"/>
      <c r="M1502"/>
      <c r="N1502"/>
      <c r="O1502"/>
      <c r="P1502"/>
      <c r="Q1502"/>
      <c r="R1502"/>
      <c r="S1502"/>
    </row>
    <row r="1503" spans="7:19" x14ac:dyDescent="0.25">
      <c r="G1503"/>
      <c r="H1503"/>
      <c r="I1503"/>
      <c r="J1503"/>
      <c r="L1503"/>
      <c r="M1503"/>
      <c r="N1503"/>
      <c r="O1503"/>
      <c r="P1503"/>
      <c r="Q1503"/>
      <c r="R1503"/>
      <c r="S1503"/>
    </row>
    <row r="1504" spans="7:19" x14ac:dyDescent="0.25">
      <c r="G1504"/>
      <c r="H1504"/>
      <c r="I1504"/>
      <c r="J1504"/>
      <c r="L1504"/>
      <c r="M1504"/>
      <c r="N1504"/>
      <c r="O1504"/>
      <c r="P1504"/>
      <c r="Q1504"/>
      <c r="R1504"/>
      <c r="S1504"/>
    </row>
    <row r="1505" spans="7:19" x14ac:dyDescent="0.25">
      <c r="G1505"/>
      <c r="H1505"/>
      <c r="I1505"/>
      <c r="J1505"/>
      <c r="L1505"/>
      <c r="M1505"/>
      <c r="N1505"/>
      <c r="O1505"/>
      <c r="P1505"/>
      <c r="Q1505"/>
      <c r="R1505"/>
      <c r="S1505"/>
    </row>
    <row r="1506" spans="7:19" x14ac:dyDescent="0.25">
      <c r="G1506"/>
      <c r="H1506"/>
      <c r="I1506"/>
      <c r="J1506"/>
      <c r="L1506"/>
      <c r="M1506"/>
      <c r="N1506"/>
      <c r="O1506"/>
      <c r="P1506"/>
      <c r="Q1506"/>
      <c r="R1506"/>
      <c r="S1506"/>
    </row>
    <row r="1507" spans="7:19" x14ac:dyDescent="0.25">
      <c r="G1507"/>
      <c r="H1507"/>
      <c r="I1507"/>
      <c r="J1507"/>
      <c r="L1507"/>
      <c r="M1507"/>
      <c r="N1507"/>
      <c r="O1507"/>
      <c r="P1507"/>
      <c r="Q1507"/>
      <c r="R1507"/>
      <c r="S1507"/>
    </row>
    <row r="1508" spans="7:19" x14ac:dyDescent="0.25">
      <c r="G1508"/>
      <c r="H1508"/>
      <c r="I1508"/>
      <c r="J1508"/>
      <c r="L1508"/>
      <c r="M1508"/>
      <c r="N1508"/>
      <c r="O1508"/>
      <c r="P1508"/>
      <c r="Q1508"/>
      <c r="R1508"/>
      <c r="S1508"/>
    </row>
    <row r="1509" spans="7:19" x14ac:dyDescent="0.25">
      <c r="G1509"/>
      <c r="H1509"/>
      <c r="I1509"/>
      <c r="J1509"/>
      <c r="L1509"/>
      <c r="M1509"/>
      <c r="N1509"/>
      <c r="O1509"/>
      <c r="P1509"/>
      <c r="Q1509"/>
      <c r="R1509"/>
      <c r="S1509"/>
    </row>
    <row r="1510" spans="7:19" x14ac:dyDescent="0.25">
      <c r="G1510"/>
      <c r="H1510"/>
      <c r="I1510"/>
      <c r="J1510"/>
      <c r="L1510"/>
      <c r="M1510"/>
      <c r="N1510"/>
      <c r="O1510"/>
      <c r="P1510"/>
      <c r="Q1510"/>
      <c r="R1510"/>
      <c r="S1510"/>
    </row>
    <row r="1511" spans="7:19" x14ac:dyDescent="0.25">
      <c r="G1511"/>
      <c r="H1511"/>
      <c r="I1511"/>
      <c r="J1511"/>
      <c r="L1511"/>
      <c r="M1511"/>
      <c r="N1511"/>
      <c r="O1511"/>
      <c r="P1511"/>
      <c r="Q1511"/>
      <c r="R1511"/>
      <c r="S1511"/>
    </row>
    <row r="1512" spans="7:19" x14ac:dyDescent="0.25">
      <c r="G1512"/>
      <c r="H1512"/>
      <c r="I1512"/>
      <c r="J1512"/>
      <c r="L1512"/>
      <c r="M1512"/>
      <c r="N1512"/>
      <c r="O1512"/>
      <c r="P1512"/>
      <c r="Q1512"/>
      <c r="R1512"/>
      <c r="S1512"/>
    </row>
    <row r="1513" spans="7:19" x14ac:dyDescent="0.25">
      <c r="G1513"/>
      <c r="H1513"/>
      <c r="I1513"/>
      <c r="J1513"/>
      <c r="L1513"/>
      <c r="M1513"/>
      <c r="N1513"/>
      <c r="O1513"/>
      <c r="P1513"/>
      <c r="Q1513"/>
      <c r="R1513"/>
      <c r="S1513"/>
    </row>
    <row r="1514" spans="7:19" x14ac:dyDescent="0.25">
      <c r="G1514"/>
      <c r="H1514"/>
      <c r="I1514"/>
      <c r="J1514"/>
      <c r="L1514"/>
      <c r="M1514"/>
      <c r="N1514"/>
      <c r="O1514"/>
      <c r="P1514"/>
      <c r="Q1514"/>
      <c r="R1514"/>
      <c r="S1514"/>
    </row>
    <row r="1515" spans="7:19" x14ac:dyDescent="0.25">
      <c r="G1515"/>
      <c r="H1515"/>
      <c r="I1515"/>
      <c r="J1515"/>
      <c r="L1515"/>
      <c r="M1515"/>
      <c r="N1515"/>
      <c r="O1515"/>
      <c r="P1515"/>
      <c r="Q1515"/>
      <c r="R1515"/>
      <c r="S1515"/>
    </row>
    <row r="1516" spans="7:19" x14ac:dyDescent="0.25">
      <c r="G1516"/>
      <c r="H1516"/>
      <c r="I1516"/>
      <c r="J1516"/>
      <c r="L1516"/>
      <c r="M1516"/>
      <c r="N1516"/>
      <c r="O1516"/>
      <c r="P1516"/>
      <c r="Q1516"/>
      <c r="R1516"/>
      <c r="S1516"/>
    </row>
    <row r="1517" spans="7:19" x14ac:dyDescent="0.25">
      <c r="G1517"/>
      <c r="H1517"/>
      <c r="I1517"/>
      <c r="J1517"/>
      <c r="L1517"/>
      <c r="M1517"/>
      <c r="N1517"/>
      <c r="O1517"/>
      <c r="P1517"/>
      <c r="Q1517"/>
      <c r="R1517"/>
      <c r="S1517"/>
    </row>
    <row r="1518" spans="7:19" x14ac:dyDescent="0.25">
      <c r="G1518"/>
      <c r="H1518"/>
      <c r="I1518"/>
      <c r="J1518"/>
      <c r="L1518"/>
      <c r="M1518"/>
      <c r="N1518"/>
      <c r="O1518"/>
      <c r="P1518"/>
      <c r="Q1518"/>
      <c r="R1518"/>
      <c r="S1518"/>
    </row>
    <row r="1519" spans="7:19" x14ac:dyDescent="0.25">
      <c r="G1519"/>
      <c r="H1519"/>
      <c r="I1519"/>
      <c r="J1519"/>
      <c r="L1519"/>
      <c r="M1519"/>
      <c r="N1519"/>
      <c r="O1519"/>
      <c r="P1519"/>
      <c r="Q1519"/>
      <c r="R1519"/>
      <c r="S1519"/>
    </row>
    <row r="1520" spans="7:19" x14ac:dyDescent="0.25">
      <c r="G1520"/>
      <c r="H1520"/>
      <c r="I1520"/>
      <c r="J1520"/>
      <c r="L1520"/>
      <c r="M1520"/>
      <c r="N1520"/>
      <c r="O1520"/>
      <c r="P1520"/>
      <c r="Q1520"/>
      <c r="R1520"/>
      <c r="S1520"/>
    </row>
    <row r="1521" spans="7:19" x14ac:dyDescent="0.25">
      <c r="G1521"/>
      <c r="H1521"/>
      <c r="I1521"/>
      <c r="J1521"/>
      <c r="L1521"/>
      <c r="M1521"/>
      <c r="N1521"/>
      <c r="O1521"/>
      <c r="P1521"/>
      <c r="Q1521"/>
      <c r="R1521"/>
      <c r="S1521"/>
    </row>
    <row r="1522" spans="7:19" x14ac:dyDescent="0.25">
      <c r="G1522"/>
      <c r="H1522"/>
      <c r="I1522"/>
      <c r="J1522"/>
      <c r="L1522"/>
      <c r="M1522"/>
      <c r="N1522"/>
      <c r="O1522"/>
      <c r="P1522"/>
      <c r="Q1522"/>
      <c r="R1522"/>
      <c r="S1522"/>
    </row>
    <row r="1523" spans="7:19" x14ac:dyDescent="0.25">
      <c r="G1523"/>
      <c r="H1523"/>
      <c r="I1523"/>
      <c r="J1523"/>
      <c r="L1523"/>
      <c r="M1523"/>
      <c r="N1523"/>
      <c r="O1523"/>
      <c r="P1523"/>
      <c r="Q1523"/>
      <c r="R1523"/>
      <c r="S1523"/>
    </row>
    <row r="1524" spans="7:19" x14ac:dyDescent="0.25">
      <c r="G1524"/>
      <c r="H1524"/>
      <c r="I1524"/>
      <c r="J1524"/>
      <c r="L1524"/>
      <c r="M1524"/>
      <c r="N1524"/>
      <c r="O1524"/>
      <c r="P1524"/>
      <c r="Q1524"/>
      <c r="R1524"/>
      <c r="S1524"/>
    </row>
    <row r="1525" spans="7:19" x14ac:dyDescent="0.25">
      <c r="G1525"/>
      <c r="H1525"/>
      <c r="I1525"/>
      <c r="J1525"/>
      <c r="L1525"/>
      <c r="M1525"/>
      <c r="N1525"/>
      <c r="O1525"/>
      <c r="P1525"/>
      <c r="Q1525"/>
      <c r="R1525"/>
      <c r="S1525"/>
    </row>
    <row r="1526" spans="7:19" x14ac:dyDescent="0.25">
      <c r="G1526"/>
      <c r="H1526"/>
      <c r="I1526"/>
      <c r="J1526"/>
      <c r="L1526"/>
      <c r="M1526"/>
      <c r="N1526"/>
      <c r="O1526"/>
      <c r="P1526"/>
      <c r="Q1526"/>
      <c r="R1526"/>
      <c r="S1526"/>
    </row>
    <row r="1527" spans="7:19" x14ac:dyDescent="0.25">
      <c r="G1527"/>
      <c r="H1527"/>
      <c r="I1527"/>
      <c r="J1527"/>
      <c r="L1527"/>
      <c r="M1527"/>
      <c r="N1527"/>
      <c r="O1527"/>
      <c r="P1527"/>
      <c r="Q1527"/>
      <c r="R1527"/>
      <c r="S1527"/>
    </row>
    <row r="1528" spans="7:19" x14ac:dyDescent="0.25">
      <c r="G1528"/>
      <c r="H1528"/>
      <c r="I1528"/>
      <c r="J1528"/>
      <c r="L1528"/>
      <c r="M1528"/>
      <c r="N1528"/>
      <c r="O1528"/>
      <c r="P1528"/>
      <c r="Q1528"/>
      <c r="R1528"/>
      <c r="S1528"/>
    </row>
    <row r="1529" spans="7:19" x14ac:dyDescent="0.25">
      <c r="G1529"/>
      <c r="H1529"/>
      <c r="I1529"/>
      <c r="J1529"/>
      <c r="L1529"/>
      <c r="M1529"/>
      <c r="N1529"/>
      <c r="O1529"/>
      <c r="P1529"/>
      <c r="Q1529"/>
      <c r="R1529"/>
      <c r="S1529"/>
    </row>
    <row r="1530" spans="7:19" x14ac:dyDescent="0.25">
      <c r="G1530"/>
      <c r="H1530"/>
      <c r="I1530"/>
      <c r="J1530"/>
      <c r="L1530"/>
      <c r="M1530"/>
      <c r="N1530"/>
      <c r="O1530"/>
      <c r="P1530"/>
      <c r="Q1530"/>
      <c r="R1530"/>
      <c r="S1530"/>
    </row>
    <row r="1531" spans="7:19" x14ac:dyDescent="0.25">
      <c r="G1531"/>
      <c r="H1531"/>
      <c r="I1531"/>
      <c r="J1531"/>
      <c r="L1531"/>
      <c r="M1531"/>
      <c r="N1531"/>
      <c r="O1531"/>
      <c r="P1531"/>
      <c r="Q1531"/>
      <c r="R1531"/>
      <c r="S1531"/>
    </row>
    <row r="1532" spans="7:19" x14ac:dyDescent="0.25">
      <c r="G1532"/>
      <c r="H1532"/>
      <c r="I1532"/>
      <c r="J1532"/>
      <c r="L1532"/>
      <c r="M1532"/>
      <c r="N1532"/>
      <c r="O1532"/>
      <c r="P1532"/>
      <c r="Q1532"/>
      <c r="R1532"/>
      <c r="S1532"/>
    </row>
    <row r="1533" spans="7:19" x14ac:dyDescent="0.25">
      <c r="G1533"/>
      <c r="H1533"/>
      <c r="I1533"/>
      <c r="J1533"/>
      <c r="L1533"/>
      <c r="M1533"/>
      <c r="N1533"/>
      <c r="O1533"/>
      <c r="P1533"/>
      <c r="Q1533"/>
      <c r="R1533"/>
      <c r="S1533"/>
    </row>
    <row r="1534" spans="7:19" x14ac:dyDescent="0.25">
      <c r="G1534"/>
      <c r="H1534"/>
      <c r="I1534"/>
      <c r="J1534"/>
      <c r="L1534"/>
      <c r="M1534"/>
      <c r="N1534"/>
      <c r="O1534"/>
      <c r="P1534"/>
      <c r="Q1534"/>
      <c r="R1534"/>
      <c r="S1534"/>
    </row>
    <row r="1535" spans="7:19" x14ac:dyDescent="0.25">
      <c r="G1535"/>
      <c r="H1535"/>
      <c r="I1535"/>
      <c r="J1535"/>
      <c r="L1535"/>
      <c r="M1535"/>
      <c r="N1535"/>
      <c r="O1535"/>
      <c r="P1535"/>
      <c r="Q1535"/>
      <c r="R1535"/>
      <c r="S1535"/>
    </row>
    <row r="1536" spans="7:19" x14ac:dyDescent="0.25">
      <c r="G1536"/>
      <c r="H1536"/>
      <c r="I1536"/>
      <c r="J1536"/>
      <c r="L1536"/>
      <c r="M1536"/>
      <c r="N1536"/>
      <c r="O1536"/>
      <c r="P1536"/>
      <c r="Q1536"/>
      <c r="R1536"/>
      <c r="S1536"/>
    </row>
    <row r="1537" spans="7:19" x14ac:dyDescent="0.25">
      <c r="G1537"/>
      <c r="H1537"/>
      <c r="I1537"/>
      <c r="J1537"/>
      <c r="L1537"/>
      <c r="M1537"/>
      <c r="N1537"/>
      <c r="O1537"/>
      <c r="P1537"/>
      <c r="Q1537"/>
      <c r="R1537"/>
      <c r="S1537"/>
    </row>
    <row r="1538" spans="7:19" x14ac:dyDescent="0.25">
      <c r="G1538"/>
      <c r="H1538"/>
      <c r="I1538"/>
      <c r="J1538"/>
      <c r="L1538"/>
      <c r="M1538"/>
      <c r="N1538"/>
      <c r="O1538"/>
      <c r="P1538"/>
      <c r="Q1538"/>
      <c r="R1538"/>
      <c r="S1538"/>
    </row>
    <row r="1539" spans="7:19" x14ac:dyDescent="0.25">
      <c r="G1539"/>
      <c r="H1539"/>
      <c r="I1539"/>
      <c r="J1539"/>
      <c r="L1539"/>
      <c r="M1539"/>
      <c r="N1539"/>
      <c r="O1539"/>
      <c r="P1539"/>
      <c r="Q1539"/>
      <c r="R1539"/>
      <c r="S1539"/>
    </row>
    <row r="1540" spans="7:19" x14ac:dyDescent="0.25">
      <c r="G1540"/>
      <c r="H1540"/>
      <c r="I1540"/>
      <c r="J1540"/>
      <c r="L1540"/>
      <c r="M1540"/>
      <c r="N1540"/>
      <c r="O1540"/>
      <c r="P1540"/>
      <c r="Q1540"/>
      <c r="R1540"/>
      <c r="S1540"/>
    </row>
    <row r="1541" spans="7:19" x14ac:dyDescent="0.25">
      <c r="G1541"/>
      <c r="H1541"/>
      <c r="I1541"/>
      <c r="J1541"/>
      <c r="L1541"/>
      <c r="M1541"/>
      <c r="N1541"/>
      <c r="O1541"/>
      <c r="P1541"/>
      <c r="Q1541"/>
      <c r="R1541"/>
      <c r="S1541"/>
    </row>
    <row r="1542" spans="7:19" x14ac:dyDescent="0.25">
      <c r="G1542"/>
      <c r="H1542"/>
      <c r="I1542"/>
      <c r="J1542"/>
      <c r="L1542"/>
      <c r="M1542"/>
      <c r="N1542"/>
      <c r="O1542"/>
      <c r="P1542"/>
      <c r="Q1542"/>
      <c r="R1542"/>
      <c r="S1542"/>
    </row>
    <row r="1543" spans="7:19" x14ac:dyDescent="0.25">
      <c r="G1543"/>
      <c r="H1543"/>
      <c r="I1543"/>
      <c r="J1543"/>
      <c r="L1543"/>
      <c r="M1543"/>
      <c r="N1543"/>
      <c r="O1543"/>
      <c r="P1543"/>
      <c r="Q1543"/>
      <c r="R1543"/>
      <c r="S1543"/>
    </row>
    <row r="1544" spans="7:19" x14ac:dyDescent="0.25">
      <c r="G1544"/>
      <c r="H1544"/>
      <c r="I1544"/>
      <c r="J1544"/>
      <c r="L1544"/>
      <c r="M1544"/>
      <c r="N1544"/>
      <c r="O1544"/>
      <c r="P1544"/>
      <c r="Q1544"/>
      <c r="R1544"/>
      <c r="S1544"/>
    </row>
    <row r="1545" spans="7:19" x14ac:dyDescent="0.25">
      <c r="G1545"/>
      <c r="H1545"/>
      <c r="I1545"/>
      <c r="J1545"/>
      <c r="L1545"/>
      <c r="M1545"/>
      <c r="N1545"/>
      <c r="O1545"/>
      <c r="P1545"/>
      <c r="Q1545"/>
      <c r="R1545"/>
      <c r="S1545"/>
    </row>
    <row r="1546" spans="7:19" x14ac:dyDescent="0.25">
      <c r="G1546"/>
      <c r="H1546"/>
      <c r="I1546"/>
      <c r="J1546"/>
      <c r="L1546"/>
      <c r="M1546"/>
      <c r="N1546"/>
      <c r="O1546"/>
      <c r="P1546"/>
      <c r="Q1546"/>
      <c r="R1546"/>
      <c r="S1546"/>
    </row>
    <row r="1547" spans="7:19" x14ac:dyDescent="0.25">
      <c r="G1547"/>
      <c r="H1547"/>
      <c r="I1547"/>
      <c r="J1547"/>
      <c r="L1547"/>
      <c r="M1547"/>
      <c r="N1547"/>
      <c r="O1547"/>
      <c r="P1547"/>
      <c r="Q1547"/>
      <c r="R1547"/>
      <c r="S1547"/>
    </row>
    <row r="1548" spans="7:19" x14ac:dyDescent="0.25">
      <c r="G1548"/>
      <c r="H1548"/>
      <c r="I1548"/>
      <c r="J1548"/>
      <c r="L1548"/>
      <c r="M1548"/>
      <c r="N1548"/>
      <c r="O1548"/>
      <c r="P1548"/>
      <c r="Q1548"/>
      <c r="R1548"/>
      <c r="S1548"/>
    </row>
    <row r="1549" spans="7:19" x14ac:dyDescent="0.25">
      <c r="G1549"/>
      <c r="H1549"/>
      <c r="I1549"/>
      <c r="J1549"/>
      <c r="L1549"/>
      <c r="M1549"/>
      <c r="N1549"/>
      <c r="O1549"/>
      <c r="P1549"/>
      <c r="Q1549"/>
      <c r="R1549"/>
      <c r="S1549"/>
    </row>
    <row r="1550" spans="7:19" x14ac:dyDescent="0.25">
      <c r="G1550"/>
      <c r="H1550"/>
      <c r="I1550"/>
      <c r="J1550"/>
      <c r="L1550"/>
      <c r="M1550"/>
      <c r="N1550"/>
      <c r="O1550"/>
      <c r="P1550"/>
      <c r="Q1550"/>
      <c r="R1550"/>
      <c r="S1550"/>
    </row>
    <row r="1551" spans="7:19" x14ac:dyDescent="0.25">
      <c r="G1551"/>
      <c r="H1551"/>
      <c r="I1551"/>
      <c r="J1551"/>
      <c r="L1551"/>
      <c r="M1551"/>
      <c r="N1551"/>
      <c r="O1551"/>
      <c r="P1551"/>
      <c r="Q1551"/>
      <c r="R1551"/>
      <c r="S1551"/>
    </row>
    <row r="1552" spans="7:19" x14ac:dyDescent="0.25">
      <c r="G1552"/>
      <c r="H1552"/>
      <c r="I1552"/>
      <c r="J1552"/>
      <c r="L1552"/>
      <c r="M1552"/>
      <c r="N1552"/>
      <c r="O1552"/>
      <c r="P1552"/>
      <c r="Q1552"/>
      <c r="R1552"/>
      <c r="S1552"/>
    </row>
    <row r="1553" spans="7:19" x14ac:dyDescent="0.25">
      <c r="G1553"/>
      <c r="H1553"/>
      <c r="I1553"/>
      <c r="J1553"/>
      <c r="L1553"/>
      <c r="M1553"/>
      <c r="N1553"/>
      <c r="O1553"/>
      <c r="P1553"/>
      <c r="Q1553"/>
      <c r="R1553"/>
      <c r="S1553"/>
    </row>
    <row r="1554" spans="7:19" x14ac:dyDescent="0.25">
      <c r="G1554"/>
      <c r="H1554"/>
      <c r="I1554"/>
      <c r="J1554"/>
      <c r="L1554"/>
      <c r="M1554"/>
      <c r="N1554"/>
      <c r="O1554"/>
      <c r="P1554"/>
      <c r="Q1554"/>
      <c r="R1554"/>
      <c r="S1554"/>
    </row>
    <row r="1555" spans="7:19" x14ac:dyDescent="0.25">
      <c r="G1555"/>
      <c r="H1555"/>
      <c r="I1555"/>
      <c r="J1555"/>
      <c r="L1555"/>
      <c r="M1555"/>
      <c r="N1555"/>
      <c r="O1555"/>
      <c r="P1555"/>
      <c r="Q1555"/>
      <c r="R1555"/>
      <c r="S1555"/>
    </row>
    <row r="1556" spans="7:19" x14ac:dyDescent="0.25">
      <c r="G1556"/>
      <c r="H1556"/>
      <c r="I1556"/>
      <c r="J1556"/>
      <c r="L1556"/>
      <c r="M1556"/>
      <c r="N1556"/>
      <c r="O1556"/>
      <c r="P1556"/>
      <c r="Q1556"/>
      <c r="R1556"/>
      <c r="S1556"/>
    </row>
    <row r="1557" spans="7:19" x14ac:dyDescent="0.25">
      <c r="G1557"/>
      <c r="H1557"/>
      <c r="I1557"/>
      <c r="J1557"/>
      <c r="L1557"/>
      <c r="M1557"/>
      <c r="N1557"/>
      <c r="O1557"/>
      <c r="P1557"/>
      <c r="Q1557"/>
      <c r="R1557"/>
      <c r="S1557"/>
    </row>
    <row r="1558" spans="7:19" x14ac:dyDescent="0.25">
      <c r="G1558"/>
      <c r="H1558"/>
      <c r="I1558"/>
      <c r="J1558"/>
      <c r="L1558"/>
      <c r="M1558"/>
      <c r="N1558"/>
      <c r="O1558"/>
      <c r="P1558"/>
      <c r="Q1558"/>
      <c r="R1558"/>
      <c r="S1558"/>
    </row>
    <row r="1559" spans="7:19" x14ac:dyDescent="0.25">
      <c r="G1559"/>
      <c r="H1559"/>
      <c r="I1559"/>
      <c r="J1559"/>
      <c r="L1559"/>
      <c r="M1559"/>
      <c r="N1559"/>
      <c r="O1559"/>
      <c r="P1559"/>
      <c r="Q1559"/>
      <c r="R1559"/>
      <c r="S1559"/>
    </row>
    <row r="1560" spans="7:19" x14ac:dyDescent="0.25">
      <c r="G1560"/>
      <c r="H1560"/>
      <c r="I1560"/>
      <c r="J1560"/>
      <c r="L1560"/>
      <c r="M1560"/>
      <c r="N1560"/>
      <c r="O1560"/>
      <c r="P1560"/>
      <c r="Q1560"/>
      <c r="R1560"/>
      <c r="S1560"/>
    </row>
    <row r="1561" spans="7:19" x14ac:dyDescent="0.25">
      <c r="G1561"/>
      <c r="H1561"/>
      <c r="I1561"/>
      <c r="J1561"/>
      <c r="L1561"/>
      <c r="M1561"/>
      <c r="N1561"/>
      <c r="O1561"/>
      <c r="P1561"/>
      <c r="Q1561"/>
      <c r="R1561"/>
      <c r="S1561"/>
    </row>
    <row r="1562" spans="7:19" x14ac:dyDescent="0.25">
      <c r="G1562"/>
      <c r="H1562"/>
      <c r="I1562"/>
      <c r="J1562"/>
      <c r="L1562"/>
      <c r="M1562"/>
      <c r="N1562"/>
      <c r="O1562"/>
      <c r="P1562"/>
      <c r="Q1562"/>
      <c r="R1562"/>
      <c r="S1562"/>
    </row>
    <row r="1563" spans="7:19" x14ac:dyDescent="0.25">
      <c r="G1563"/>
      <c r="H1563"/>
      <c r="I1563"/>
      <c r="J1563"/>
      <c r="L1563"/>
      <c r="M1563"/>
      <c r="N1563"/>
      <c r="O1563"/>
      <c r="P1563"/>
      <c r="Q1563"/>
      <c r="R1563"/>
      <c r="S1563"/>
    </row>
    <row r="1564" spans="7:19" x14ac:dyDescent="0.25">
      <c r="G1564"/>
      <c r="H1564"/>
      <c r="I1564"/>
      <c r="J1564"/>
      <c r="L1564"/>
      <c r="M1564"/>
      <c r="N1564"/>
      <c r="O1564"/>
      <c r="P1564"/>
      <c r="Q1564"/>
      <c r="R1564"/>
      <c r="S1564"/>
    </row>
    <row r="1565" spans="7:19" x14ac:dyDescent="0.25">
      <c r="G1565"/>
      <c r="H1565"/>
      <c r="I1565"/>
      <c r="J1565"/>
      <c r="L1565"/>
      <c r="M1565"/>
      <c r="N1565"/>
      <c r="O1565"/>
      <c r="P1565"/>
      <c r="Q1565"/>
      <c r="R1565"/>
      <c r="S1565"/>
    </row>
    <row r="1566" spans="7:19" x14ac:dyDescent="0.25">
      <c r="G1566"/>
      <c r="H1566"/>
      <c r="I1566"/>
      <c r="J1566"/>
      <c r="L1566"/>
      <c r="M1566"/>
      <c r="N1566"/>
      <c r="O1566"/>
      <c r="P1566"/>
      <c r="Q1566"/>
      <c r="R1566"/>
      <c r="S1566"/>
    </row>
    <row r="1567" spans="7:19" x14ac:dyDescent="0.25">
      <c r="G1567"/>
      <c r="H1567"/>
      <c r="I1567"/>
      <c r="J1567"/>
      <c r="L1567"/>
      <c r="M1567"/>
      <c r="N1567"/>
      <c r="O1567"/>
      <c r="P1567"/>
      <c r="Q1567"/>
      <c r="R1567"/>
      <c r="S1567"/>
    </row>
    <row r="1568" spans="7:19" x14ac:dyDescent="0.25">
      <c r="G1568"/>
      <c r="H1568"/>
      <c r="I1568"/>
      <c r="J1568"/>
      <c r="L1568"/>
      <c r="M1568"/>
      <c r="N1568"/>
      <c r="O1568"/>
      <c r="P1568"/>
      <c r="Q1568"/>
      <c r="R1568"/>
      <c r="S1568"/>
    </row>
    <row r="1569" spans="7:19" x14ac:dyDescent="0.25">
      <c r="G1569"/>
      <c r="H1569"/>
      <c r="I1569"/>
      <c r="J1569"/>
      <c r="L1569"/>
      <c r="M1569"/>
      <c r="N1569"/>
      <c r="O1569"/>
      <c r="P1569"/>
      <c r="Q1569"/>
      <c r="R1569"/>
      <c r="S1569"/>
    </row>
    <row r="1570" spans="7:19" x14ac:dyDescent="0.25">
      <c r="G1570"/>
      <c r="H1570"/>
      <c r="I1570"/>
      <c r="J1570"/>
      <c r="L1570"/>
      <c r="M1570"/>
      <c r="N1570"/>
      <c r="O1570"/>
      <c r="P1570"/>
      <c r="Q1570"/>
      <c r="R1570"/>
      <c r="S1570"/>
    </row>
    <row r="1571" spans="7:19" x14ac:dyDescent="0.25">
      <c r="G1571"/>
      <c r="H1571"/>
      <c r="I1571"/>
      <c r="J1571"/>
      <c r="L1571"/>
      <c r="M1571"/>
      <c r="N1571"/>
      <c r="O1571"/>
      <c r="P1571"/>
      <c r="Q1571"/>
      <c r="R1571"/>
      <c r="S1571"/>
    </row>
    <row r="1572" spans="7:19" x14ac:dyDescent="0.25">
      <c r="G1572"/>
      <c r="H1572"/>
      <c r="I1572"/>
      <c r="J1572"/>
      <c r="L1572"/>
      <c r="M1572"/>
      <c r="N1572"/>
      <c r="O1572"/>
      <c r="P1572"/>
      <c r="Q1572"/>
      <c r="R1572"/>
      <c r="S1572"/>
    </row>
    <row r="1573" spans="7:19" x14ac:dyDescent="0.25">
      <c r="G1573"/>
      <c r="H1573"/>
      <c r="I1573"/>
      <c r="J1573"/>
      <c r="L1573"/>
      <c r="M1573"/>
      <c r="N1573"/>
      <c r="O1573"/>
      <c r="P1573"/>
      <c r="Q1573"/>
      <c r="R1573"/>
      <c r="S1573"/>
    </row>
    <row r="1574" spans="7:19" x14ac:dyDescent="0.25">
      <c r="G1574"/>
      <c r="H1574"/>
      <c r="I1574"/>
      <c r="J1574"/>
      <c r="L1574"/>
      <c r="M1574"/>
      <c r="N1574"/>
      <c r="O1574"/>
      <c r="P1574"/>
      <c r="Q1574"/>
      <c r="R1574"/>
      <c r="S1574"/>
    </row>
    <row r="1575" spans="7:19" x14ac:dyDescent="0.25">
      <c r="G1575"/>
      <c r="H1575"/>
      <c r="I1575"/>
      <c r="J1575"/>
      <c r="L1575"/>
      <c r="M1575"/>
      <c r="N1575"/>
      <c r="O1575"/>
      <c r="P1575"/>
      <c r="Q1575"/>
      <c r="R1575"/>
      <c r="S1575"/>
    </row>
    <row r="1576" spans="7:19" x14ac:dyDescent="0.25">
      <c r="G1576"/>
      <c r="H1576"/>
      <c r="I1576"/>
      <c r="J1576"/>
      <c r="L1576"/>
      <c r="M1576"/>
      <c r="N1576"/>
      <c r="O1576"/>
      <c r="P1576"/>
      <c r="Q1576"/>
      <c r="R1576"/>
      <c r="S1576"/>
    </row>
    <row r="1577" spans="7:19" x14ac:dyDescent="0.25">
      <c r="G1577"/>
      <c r="H1577"/>
      <c r="I1577"/>
      <c r="J1577"/>
      <c r="L1577"/>
      <c r="M1577"/>
      <c r="N1577"/>
      <c r="O1577"/>
      <c r="P1577"/>
      <c r="Q1577"/>
      <c r="R1577"/>
      <c r="S1577"/>
    </row>
    <row r="1578" spans="7:19" x14ac:dyDescent="0.25">
      <c r="G1578"/>
      <c r="H1578"/>
      <c r="I1578"/>
      <c r="J1578"/>
      <c r="L1578"/>
      <c r="M1578"/>
      <c r="N1578"/>
      <c r="O1578"/>
      <c r="P1578"/>
      <c r="Q1578"/>
      <c r="R1578"/>
      <c r="S1578"/>
    </row>
    <row r="1579" spans="7:19" x14ac:dyDescent="0.25">
      <c r="G1579"/>
      <c r="H1579"/>
      <c r="I1579"/>
      <c r="J1579"/>
      <c r="L1579"/>
      <c r="M1579"/>
      <c r="N1579"/>
      <c r="O1579"/>
      <c r="P1579"/>
      <c r="Q1579"/>
      <c r="R1579"/>
      <c r="S1579"/>
    </row>
    <row r="1580" spans="7:19" x14ac:dyDescent="0.25">
      <c r="G1580"/>
      <c r="H1580"/>
      <c r="I1580"/>
      <c r="J1580"/>
      <c r="L1580"/>
      <c r="M1580"/>
      <c r="N1580"/>
      <c r="O1580"/>
      <c r="P1580"/>
      <c r="Q1580"/>
      <c r="R1580"/>
      <c r="S1580"/>
    </row>
    <row r="1581" spans="7:19" x14ac:dyDescent="0.25">
      <c r="G1581"/>
      <c r="H1581"/>
      <c r="I1581"/>
      <c r="J1581"/>
      <c r="L1581"/>
      <c r="M1581"/>
      <c r="N1581"/>
      <c r="O1581"/>
      <c r="P1581"/>
      <c r="Q1581"/>
      <c r="R1581"/>
      <c r="S1581"/>
    </row>
    <row r="1582" spans="7:19" x14ac:dyDescent="0.25">
      <c r="G1582"/>
      <c r="H1582"/>
      <c r="I1582"/>
      <c r="J1582"/>
      <c r="L1582"/>
      <c r="M1582"/>
      <c r="N1582"/>
      <c r="O1582"/>
      <c r="P1582"/>
      <c r="Q1582"/>
      <c r="R1582"/>
      <c r="S1582"/>
    </row>
    <row r="1583" spans="7:19" x14ac:dyDescent="0.25">
      <c r="G1583"/>
      <c r="H1583"/>
      <c r="I1583"/>
      <c r="J1583"/>
      <c r="L1583"/>
      <c r="M1583"/>
      <c r="N1583"/>
      <c r="O1583"/>
      <c r="P1583"/>
      <c r="Q1583"/>
      <c r="R1583"/>
      <c r="S1583"/>
    </row>
    <row r="1584" spans="7:19" x14ac:dyDescent="0.25">
      <c r="G1584"/>
      <c r="H1584"/>
      <c r="I1584"/>
      <c r="J1584"/>
      <c r="L1584"/>
      <c r="M1584"/>
      <c r="N1584"/>
      <c r="O1584"/>
      <c r="P1584"/>
      <c r="Q1584"/>
      <c r="R1584"/>
      <c r="S1584"/>
    </row>
    <row r="1585" spans="7:19" x14ac:dyDescent="0.25">
      <c r="G1585"/>
      <c r="H1585"/>
      <c r="I1585"/>
      <c r="J1585"/>
      <c r="L1585"/>
      <c r="M1585"/>
      <c r="N1585"/>
      <c r="O1585"/>
      <c r="P1585"/>
      <c r="Q1585"/>
      <c r="R1585"/>
      <c r="S1585"/>
    </row>
    <row r="1586" spans="7:19" x14ac:dyDescent="0.25">
      <c r="G1586"/>
      <c r="H1586"/>
      <c r="I1586"/>
      <c r="J1586"/>
      <c r="L1586"/>
      <c r="M1586"/>
      <c r="N1586"/>
      <c r="O1586"/>
      <c r="P1586"/>
      <c r="Q1586"/>
      <c r="R1586"/>
      <c r="S1586"/>
    </row>
    <row r="1587" spans="7:19" x14ac:dyDescent="0.25">
      <c r="G1587"/>
      <c r="H1587"/>
      <c r="I1587"/>
      <c r="J1587"/>
      <c r="L1587"/>
      <c r="M1587"/>
      <c r="N1587"/>
      <c r="O1587"/>
      <c r="P1587"/>
      <c r="Q1587"/>
      <c r="R1587"/>
      <c r="S1587"/>
    </row>
    <row r="1588" spans="7:19" x14ac:dyDescent="0.25">
      <c r="G1588"/>
      <c r="H1588"/>
      <c r="I1588"/>
      <c r="J1588"/>
      <c r="L1588"/>
      <c r="M1588"/>
      <c r="N1588"/>
      <c r="O1588"/>
      <c r="P1588"/>
      <c r="Q1588"/>
      <c r="R1588"/>
      <c r="S1588"/>
    </row>
    <row r="1589" spans="7:19" x14ac:dyDescent="0.25">
      <c r="G1589"/>
      <c r="H1589"/>
      <c r="I1589"/>
      <c r="J1589"/>
      <c r="L1589"/>
      <c r="M1589"/>
      <c r="N1589"/>
      <c r="O1589"/>
      <c r="P1589"/>
      <c r="Q1589"/>
      <c r="R1589"/>
      <c r="S1589"/>
    </row>
    <row r="1590" spans="7:19" x14ac:dyDescent="0.25">
      <c r="G1590"/>
      <c r="H1590"/>
      <c r="I1590"/>
      <c r="J1590"/>
      <c r="L1590"/>
      <c r="M1590"/>
      <c r="N1590"/>
      <c r="O1590"/>
      <c r="P1590"/>
      <c r="Q1590"/>
      <c r="R1590"/>
      <c r="S1590"/>
    </row>
    <row r="1591" spans="7:19" x14ac:dyDescent="0.25">
      <c r="G1591"/>
      <c r="H1591"/>
      <c r="I1591"/>
      <c r="J1591"/>
      <c r="L1591"/>
      <c r="M1591"/>
      <c r="N1591"/>
      <c r="O1591"/>
      <c r="P1591"/>
      <c r="Q1591"/>
      <c r="R1591"/>
      <c r="S1591"/>
    </row>
    <row r="1592" spans="7:19" x14ac:dyDescent="0.25">
      <c r="G1592"/>
      <c r="H1592"/>
      <c r="I1592"/>
      <c r="J1592"/>
      <c r="L1592"/>
      <c r="M1592"/>
      <c r="N1592"/>
      <c r="O1592"/>
      <c r="P1592"/>
      <c r="Q1592"/>
      <c r="R1592"/>
      <c r="S1592"/>
    </row>
    <row r="1593" spans="7:19" x14ac:dyDescent="0.25">
      <c r="G1593"/>
      <c r="H1593"/>
      <c r="I1593"/>
      <c r="J1593"/>
      <c r="L1593"/>
      <c r="M1593"/>
      <c r="N1593"/>
      <c r="O1593"/>
      <c r="P1593"/>
      <c r="Q1593"/>
      <c r="R1593"/>
      <c r="S1593"/>
    </row>
    <row r="1594" spans="7:19" x14ac:dyDescent="0.25">
      <c r="G1594"/>
      <c r="H1594"/>
      <c r="I1594"/>
      <c r="J1594"/>
      <c r="L1594"/>
      <c r="M1594"/>
      <c r="N1594"/>
      <c r="O1594"/>
      <c r="P1594"/>
      <c r="Q1594"/>
      <c r="R1594"/>
      <c r="S1594"/>
    </row>
    <row r="1595" spans="7:19" x14ac:dyDescent="0.25">
      <c r="G1595"/>
      <c r="H1595"/>
      <c r="I1595"/>
      <c r="J1595"/>
      <c r="L1595"/>
      <c r="M1595"/>
      <c r="N1595"/>
      <c r="O1595"/>
      <c r="P1595"/>
      <c r="Q1595"/>
      <c r="R1595"/>
      <c r="S1595"/>
    </row>
    <row r="1596" spans="7:19" x14ac:dyDescent="0.25">
      <c r="G1596"/>
      <c r="H1596"/>
      <c r="I1596"/>
      <c r="J1596"/>
      <c r="L1596"/>
      <c r="M1596"/>
      <c r="N1596"/>
      <c r="O1596"/>
      <c r="P1596"/>
      <c r="Q1596"/>
      <c r="R1596"/>
      <c r="S1596"/>
    </row>
    <row r="1597" spans="7:19" x14ac:dyDescent="0.25">
      <c r="G1597"/>
      <c r="H1597"/>
      <c r="I1597"/>
      <c r="J1597"/>
      <c r="L1597"/>
      <c r="M1597"/>
      <c r="N1597"/>
      <c r="O1597"/>
      <c r="P1597"/>
      <c r="Q1597"/>
      <c r="R1597"/>
      <c r="S1597"/>
    </row>
    <row r="1598" spans="7:19" x14ac:dyDescent="0.25">
      <c r="G1598"/>
      <c r="H1598"/>
      <c r="I1598"/>
      <c r="J1598"/>
      <c r="L1598"/>
      <c r="M1598"/>
      <c r="N1598"/>
      <c r="O1598"/>
      <c r="P1598"/>
      <c r="Q1598"/>
      <c r="R1598"/>
      <c r="S1598"/>
    </row>
    <row r="1599" spans="7:19" x14ac:dyDescent="0.25">
      <c r="G1599"/>
      <c r="H1599"/>
      <c r="I1599"/>
      <c r="J1599"/>
      <c r="L1599"/>
      <c r="M1599"/>
      <c r="N1599"/>
      <c r="O1599"/>
      <c r="P1599"/>
      <c r="Q1599"/>
      <c r="R1599"/>
      <c r="S1599"/>
    </row>
    <row r="1600" spans="7:19" x14ac:dyDescent="0.25">
      <c r="G1600"/>
      <c r="H1600"/>
      <c r="I1600"/>
      <c r="J1600"/>
      <c r="L1600"/>
      <c r="M1600"/>
      <c r="N1600"/>
      <c r="O1600"/>
      <c r="P1600"/>
      <c r="Q1600"/>
      <c r="R1600"/>
      <c r="S1600"/>
    </row>
    <row r="1601" spans="7:19" x14ac:dyDescent="0.25">
      <c r="G1601"/>
      <c r="H1601"/>
      <c r="I1601"/>
      <c r="J1601"/>
      <c r="L1601"/>
      <c r="M1601"/>
      <c r="N1601"/>
      <c r="O1601"/>
      <c r="P1601"/>
      <c r="Q1601"/>
      <c r="R1601"/>
      <c r="S1601"/>
    </row>
    <row r="1602" spans="7:19" x14ac:dyDescent="0.25">
      <c r="G1602"/>
      <c r="H1602"/>
      <c r="I1602"/>
      <c r="J1602"/>
      <c r="L1602"/>
      <c r="M1602"/>
      <c r="N1602"/>
      <c r="O1602"/>
      <c r="P1602"/>
      <c r="Q1602"/>
      <c r="R1602"/>
      <c r="S1602"/>
    </row>
    <row r="1603" spans="7:19" x14ac:dyDescent="0.25">
      <c r="G1603"/>
      <c r="H1603"/>
      <c r="I1603"/>
      <c r="J1603"/>
      <c r="L1603"/>
      <c r="M1603"/>
      <c r="N1603"/>
      <c r="O1603"/>
      <c r="P1603"/>
      <c r="Q1603"/>
      <c r="R1603"/>
      <c r="S1603"/>
    </row>
    <row r="1604" spans="7:19" x14ac:dyDescent="0.25">
      <c r="G1604"/>
      <c r="H1604"/>
      <c r="I1604"/>
      <c r="J1604"/>
      <c r="L1604"/>
      <c r="M1604"/>
      <c r="N1604"/>
      <c r="O1604"/>
      <c r="P1604"/>
      <c r="Q1604"/>
      <c r="R1604"/>
      <c r="S1604"/>
    </row>
    <row r="1605" spans="7:19" x14ac:dyDescent="0.25">
      <c r="G1605"/>
      <c r="H1605"/>
      <c r="I1605"/>
      <c r="J1605"/>
      <c r="L1605"/>
      <c r="M1605"/>
      <c r="N1605"/>
      <c r="O1605"/>
      <c r="P1605"/>
      <c r="Q1605"/>
      <c r="R1605"/>
      <c r="S1605"/>
    </row>
    <row r="1606" spans="7:19" x14ac:dyDescent="0.25">
      <c r="G1606"/>
      <c r="H1606"/>
      <c r="I1606"/>
      <c r="J1606"/>
      <c r="L1606"/>
      <c r="M1606"/>
      <c r="N1606"/>
      <c r="O1606"/>
      <c r="P1606"/>
      <c r="Q1606"/>
      <c r="R1606"/>
      <c r="S1606"/>
    </row>
    <row r="1607" spans="7:19" x14ac:dyDescent="0.25">
      <c r="G1607"/>
      <c r="H1607"/>
      <c r="I1607"/>
      <c r="J1607"/>
      <c r="L1607"/>
      <c r="M1607"/>
      <c r="N1607"/>
      <c r="O1607"/>
      <c r="P1607"/>
      <c r="Q1607"/>
      <c r="R1607"/>
      <c r="S1607"/>
    </row>
    <row r="1608" spans="7:19" x14ac:dyDescent="0.25">
      <c r="G1608"/>
      <c r="H1608"/>
      <c r="I1608"/>
      <c r="J1608"/>
      <c r="L1608"/>
      <c r="M1608"/>
      <c r="N1608"/>
      <c r="O1608"/>
      <c r="P1608"/>
      <c r="Q1608"/>
      <c r="R1608"/>
      <c r="S1608"/>
    </row>
    <row r="1609" spans="7:19" x14ac:dyDescent="0.25">
      <c r="G1609"/>
      <c r="H1609"/>
      <c r="I1609"/>
      <c r="J1609"/>
      <c r="L1609"/>
      <c r="M1609"/>
      <c r="N1609"/>
      <c r="O1609"/>
      <c r="P1609"/>
      <c r="Q1609"/>
      <c r="R1609"/>
      <c r="S1609"/>
    </row>
    <row r="1610" spans="7:19" x14ac:dyDescent="0.25">
      <c r="G1610"/>
      <c r="H1610"/>
      <c r="I1610"/>
      <c r="J1610"/>
      <c r="L1610"/>
      <c r="M1610"/>
      <c r="N1610"/>
      <c r="O1610"/>
      <c r="P1610"/>
      <c r="Q1610"/>
      <c r="R1610"/>
      <c r="S1610"/>
    </row>
    <row r="1611" spans="7:19" x14ac:dyDescent="0.25">
      <c r="G1611"/>
      <c r="H1611"/>
      <c r="I1611"/>
      <c r="J1611"/>
      <c r="L1611"/>
      <c r="M1611"/>
      <c r="N1611"/>
      <c r="O1611"/>
      <c r="P1611"/>
      <c r="Q1611"/>
      <c r="R1611"/>
      <c r="S1611"/>
    </row>
    <row r="1612" spans="7:19" x14ac:dyDescent="0.25">
      <c r="G1612"/>
      <c r="H1612"/>
      <c r="I1612"/>
      <c r="J1612"/>
      <c r="L1612"/>
      <c r="M1612"/>
      <c r="N1612"/>
      <c r="O1612"/>
      <c r="P1612"/>
      <c r="Q1612"/>
      <c r="R1612"/>
      <c r="S1612"/>
    </row>
    <row r="1613" spans="7:19" x14ac:dyDescent="0.25">
      <c r="G1613"/>
      <c r="H1613"/>
      <c r="I1613"/>
      <c r="J1613"/>
      <c r="L1613"/>
      <c r="M1613"/>
      <c r="N1613"/>
      <c r="O1613"/>
      <c r="P1613"/>
      <c r="Q1613"/>
      <c r="R1613"/>
      <c r="S1613"/>
    </row>
    <row r="1614" spans="7:19" x14ac:dyDescent="0.25">
      <c r="G1614"/>
      <c r="H1614"/>
      <c r="I1614"/>
      <c r="J1614"/>
      <c r="L1614"/>
      <c r="M1614"/>
      <c r="N1614"/>
      <c r="O1614"/>
      <c r="P1614"/>
      <c r="Q1614"/>
      <c r="R1614"/>
      <c r="S1614"/>
    </row>
    <row r="1615" spans="7:19" x14ac:dyDescent="0.25">
      <c r="G1615"/>
      <c r="H1615"/>
      <c r="I1615"/>
      <c r="J1615"/>
      <c r="L1615"/>
      <c r="M1615"/>
      <c r="N1615"/>
      <c r="O1615"/>
      <c r="P1615"/>
      <c r="Q1615"/>
      <c r="R1615"/>
      <c r="S1615"/>
    </row>
    <row r="1616" spans="7:19" x14ac:dyDescent="0.25">
      <c r="G1616"/>
      <c r="H1616"/>
      <c r="I1616"/>
      <c r="J1616"/>
      <c r="L1616"/>
      <c r="M1616"/>
      <c r="N1616"/>
      <c r="O1616"/>
      <c r="P1616"/>
      <c r="Q1616"/>
      <c r="R1616"/>
      <c r="S1616"/>
    </row>
    <row r="1617" spans="7:19" x14ac:dyDescent="0.25">
      <c r="G1617"/>
      <c r="H1617"/>
      <c r="I1617"/>
      <c r="J1617"/>
      <c r="L1617"/>
      <c r="M1617"/>
      <c r="N1617"/>
      <c r="O1617"/>
      <c r="P1617"/>
      <c r="Q1617"/>
      <c r="R1617"/>
      <c r="S1617"/>
    </row>
    <row r="1618" spans="7:19" x14ac:dyDescent="0.25">
      <c r="G1618"/>
      <c r="H1618"/>
      <c r="I1618"/>
      <c r="J1618"/>
      <c r="L1618"/>
      <c r="M1618"/>
      <c r="N1618"/>
      <c r="O1618"/>
      <c r="P1618"/>
      <c r="Q1618"/>
      <c r="R1618"/>
      <c r="S1618"/>
    </row>
    <row r="1619" spans="7:19" x14ac:dyDescent="0.25">
      <c r="G1619"/>
      <c r="H1619"/>
      <c r="I1619"/>
      <c r="J1619"/>
      <c r="L1619"/>
      <c r="M1619"/>
      <c r="N1619"/>
      <c r="O1619"/>
      <c r="P1619"/>
      <c r="Q1619"/>
      <c r="R1619"/>
      <c r="S1619"/>
    </row>
    <row r="1620" spans="7:19" x14ac:dyDescent="0.25">
      <c r="G1620"/>
      <c r="H1620"/>
      <c r="I1620"/>
      <c r="J1620"/>
      <c r="L1620"/>
      <c r="M1620"/>
      <c r="N1620"/>
      <c r="O1620"/>
      <c r="P1620"/>
      <c r="Q1620"/>
      <c r="R1620"/>
      <c r="S1620"/>
    </row>
    <row r="1621" spans="7:19" x14ac:dyDescent="0.25">
      <c r="G1621"/>
      <c r="H1621"/>
      <c r="I1621"/>
      <c r="J1621"/>
      <c r="L1621"/>
      <c r="M1621"/>
      <c r="N1621"/>
      <c r="O1621"/>
      <c r="P1621"/>
      <c r="Q1621"/>
      <c r="R1621"/>
      <c r="S1621"/>
    </row>
    <row r="1622" spans="7:19" x14ac:dyDescent="0.25">
      <c r="G1622"/>
      <c r="H1622"/>
      <c r="I1622"/>
      <c r="J1622"/>
      <c r="L1622"/>
      <c r="M1622"/>
      <c r="N1622"/>
      <c r="O1622"/>
      <c r="P1622"/>
      <c r="Q1622"/>
      <c r="R1622"/>
      <c r="S1622"/>
    </row>
    <row r="1623" spans="7:19" x14ac:dyDescent="0.25">
      <c r="G1623"/>
      <c r="H1623"/>
      <c r="I1623"/>
      <c r="J1623"/>
      <c r="L1623"/>
      <c r="M1623"/>
      <c r="N1623"/>
      <c r="O1623"/>
      <c r="P1623"/>
      <c r="Q1623"/>
      <c r="R1623"/>
      <c r="S1623"/>
    </row>
    <row r="1624" spans="7:19" x14ac:dyDescent="0.25">
      <c r="G1624"/>
      <c r="H1624"/>
      <c r="I1624"/>
      <c r="J1624"/>
      <c r="L1624"/>
      <c r="M1624"/>
      <c r="N1624"/>
      <c r="O1624"/>
      <c r="P1624"/>
      <c r="Q1624"/>
      <c r="R1624"/>
      <c r="S1624"/>
    </row>
    <row r="1625" spans="7:19" x14ac:dyDescent="0.25">
      <c r="G1625"/>
      <c r="H1625"/>
      <c r="I1625"/>
      <c r="J1625"/>
      <c r="L1625"/>
      <c r="M1625"/>
      <c r="N1625"/>
      <c r="O1625"/>
      <c r="P1625"/>
      <c r="Q1625"/>
      <c r="R1625"/>
      <c r="S1625"/>
    </row>
    <row r="1626" spans="7:19" x14ac:dyDescent="0.25">
      <c r="G1626"/>
      <c r="H1626"/>
      <c r="I1626"/>
      <c r="J1626"/>
      <c r="L1626"/>
      <c r="M1626"/>
      <c r="N1626"/>
      <c r="O1626"/>
      <c r="P1626"/>
      <c r="Q1626"/>
      <c r="R1626"/>
      <c r="S1626"/>
    </row>
    <row r="1627" spans="7:19" x14ac:dyDescent="0.25">
      <c r="G1627"/>
      <c r="H1627"/>
      <c r="I1627"/>
      <c r="J1627"/>
      <c r="L1627"/>
      <c r="M1627"/>
      <c r="N1627"/>
      <c r="O1627"/>
      <c r="P1627"/>
      <c r="Q1627"/>
      <c r="R1627"/>
      <c r="S1627"/>
    </row>
    <row r="1628" spans="7:19" x14ac:dyDescent="0.25">
      <c r="G1628"/>
      <c r="H1628"/>
      <c r="I1628"/>
      <c r="J1628"/>
      <c r="L1628"/>
      <c r="M1628"/>
      <c r="N1628"/>
      <c r="O1628"/>
      <c r="P1628"/>
      <c r="Q1628"/>
      <c r="R1628"/>
      <c r="S1628"/>
    </row>
    <row r="1629" spans="7:19" x14ac:dyDescent="0.25">
      <c r="G1629"/>
      <c r="H1629"/>
      <c r="I1629"/>
      <c r="J1629"/>
      <c r="L1629"/>
      <c r="M1629"/>
      <c r="N1629"/>
      <c r="O1629"/>
      <c r="P1629"/>
      <c r="Q1629"/>
      <c r="R1629"/>
      <c r="S1629"/>
    </row>
    <row r="1630" spans="7:19" x14ac:dyDescent="0.25">
      <c r="G1630"/>
      <c r="H1630"/>
      <c r="I1630"/>
      <c r="J1630"/>
      <c r="L1630"/>
      <c r="M1630"/>
      <c r="N1630"/>
      <c r="O1630"/>
      <c r="P1630"/>
      <c r="Q1630"/>
      <c r="R1630"/>
      <c r="S1630"/>
    </row>
    <row r="1631" spans="7:19" x14ac:dyDescent="0.25">
      <c r="G1631"/>
      <c r="H1631"/>
      <c r="I1631"/>
      <c r="J1631"/>
      <c r="L1631"/>
      <c r="M1631"/>
      <c r="N1631"/>
      <c r="O1631"/>
      <c r="P1631"/>
      <c r="Q1631"/>
      <c r="R1631"/>
      <c r="S1631"/>
    </row>
    <row r="1632" spans="7:19" x14ac:dyDescent="0.25">
      <c r="G1632"/>
      <c r="H1632"/>
      <c r="I1632"/>
      <c r="J1632"/>
      <c r="L1632"/>
      <c r="M1632"/>
      <c r="N1632"/>
      <c r="O1632"/>
      <c r="P1632"/>
      <c r="Q1632"/>
      <c r="R1632"/>
      <c r="S1632"/>
    </row>
    <row r="1633" spans="7:19" x14ac:dyDescent="0.25">
      <c r="G1633"/>
      <c r="H1633"/>
      <c r="I1633"/>
      <c r="J1633"/>
      <c r="L1633"/>
      <c r="M1633"/>
      <c r="N1633"/>
      <c r="O1633"/>
      <c r="P1633"/>
      <c r="Q1633"/>
      <c r="R1633"/>
      <c r="S1633"/>
    </row>
    <row r="1634" spans="7:19" x14ac:dyDescent="0.25">
      <c r="G1634"/>
      <c r="H1634"/>
      <c r="I1634"/>
      <c r="J1634"/>
      <c r="L1634"/>
      <c r="M1634"/>
      <c r="N1634"/>
      <c r="O1634"/>
      <c r="P1634"/>
      <c r="Q1634"/>
      <c r="R1634"/>
      <c r="S1634"/>
    </row>
    <row r="1635" spans="7:19" x14ac:dyDescent="0.25">
      <c r="G1635"/>
      <c r="H1635"/>
      <c r="I1635"/>
      <c r="J1635"/>
      <c r="L1635"/>
      <c r="M1635"/>
      <c r="N1635"/>
      <c r="O1635"/>
      <c r="P1635"/>
      <c r="Q1635"/>
      <c r="R1635"/>
      <c r="S1635"/>
    </row>
    <row r="1636" spans="7:19" x14ac:dyDescent="0.25">
      <c r="G1636"/>
      <c r="H1636"/>
      <c r="I1636"/>
      <c r="J1636"/>
      <c r="L1636"/>
      <c r="M1636"/>
      <c r="N1636"/>
      <c r="O1636"/>
      <c r="P1636"/>
      <c r="Q1636"/>
      <c r="R1636"/>
      <c r="S1636"/>
    </row>
    <row r="1637" spans="7:19" x14ac:dyDescent="0.25">
      <c r="G1637"/>
      <c r="H1637"/>
      <c r="I1637"/>
      <c r="J1637"/>
      <c r="L1637"/>
      <c r="M1637"/>
      <c r="N1637"/>
      <c r="O1637"/>
      <c r="P1637"/>
      <c r="Q1637"/>
      <c r="R1637"/>
      <c r="S1637"/>
    </row>
    <row r="1638" spans="7:19" x14ac:dyDescent="0.25">
      <c r="G1638"/>
      <c r="H1638"/>
      <c r="I1638"/>
      <c r="J1638"/>
      <c r="L1638"/>
      <c r="M1638"/>
      <c r="N1638"/>
      <c r="O1638"/>
      <c r="P1638"/>
      <c r="Q1638"/>
      <c r="R1638"/>
      <c r="S1638"/>
    </row>
    <row r="1639" spans="7:19" x14ac:dyDescent="0.25">
      <c r="G1639"/>
      <c r="H1639"/>
      <c r="I1639"/>
      <c r="J1639"/>
      <c r="L1639"/>
      <c r="M1639"/>
      <c r="N1639"/>
      <c r="O1639"/>
      <c r="P1639"/>
      <c r="Q1639"/>
      <c r="R1639"/>
      <c r="S1639"/>
    </row>
    <row r="1640" spans="7:19" x14ac:dyDescent="0.25">
      <c r="G1640"/>
      <c r="H1640"/>
      <c r="I1640"/>
      <c r="J1640"/>
      <c r="L1640"/>
      <c r="M1640"/>
      <c r="N1640"/>
      <c r="O1640"/>
      <c r="P1640"/>
      <c r="Q1640"/>
      <c r="R1640"/>
      <c r="S1640"/>
    </row>
    <row r="1641" spans="7:19" x14ac:dyDescent="0.25">
      <c r="G1641"/>
      <c r="H1641"/>
      <c r="I1641"/>
      <c r="J1641"/>
      <c r="L1641"/>
      <c r="M1641"/>
      <c r="N1641"/>
      <c r="O1641"/>
      <c r="P1641"/>
      <c r="Q1641"/>
      <c r="R1641"/>
      <c r="S1641"/>
    </row>
    <row r="1642" spans="7:19" x14ac:dyDescent="0.25">
      <c r="G1642"/>
      <c r="H1642"/>
      <c r="I1642"/>
      <c r="J1642"/>
      <c r="L1642"/>
      <c r="M1642"/>
      <c r="N1642"/>
      <c r="O1642"/>
      <c r="P1642"/>
      <c r="Q1642"/>
      <c r="R1642"/>
      <c r="S1642"/>
    </row>
    <row r="1643" spans="7:19" x14ac:dyDescent="0.25">
      <c r="G1643"/>
      <c r="H1643"/>
      <c r="I1643"/>
      <c r="J1643"/>
      <c r="L1643"/>
      <c r="M1643"/>
      <c r="N1643"/>
      <c r="O1643"/>
      <c r="P1643"/>
      <c r="Q1643"/>
      <c r="R1643"/>
      <c r="S1643"/>
    </row>
    <row r="1644" spans="7:19" x14ac:dyDescent="0.25">
      <c r="G1644"/>
      <c r="H1644"/>
      <c r="I1644"/>
      <c r="J1644"/>
      <c r="L1644"/>
      <c r="M1644"/>
      <c r="N1644"/>
      <c r="O1644"/>
      <c r="P1644"/>
      <c r="Q1644"/>
      <c r="R1644"/>
      <c r="S1644"/>
    </row>
    <row r="1645" spans="7:19" x14ac:dyDescent="0.25">
      <c r="G1645"/>
      <c r="H1645"/>
      <c r="I1645"/>
      <c r="J1645"/>
      <c r="L1645"/>
      <c r="M1645"/>
      <c r="N1645"/>
      <c r="O1645"/>
      <c r="P1645"/>
      <c r="Q1645"/>
      <c r="R1645"/>
      <c r="S1645"/>
    </row>
    <row r="1646" spans="7:19" x14ac:dyDescent="0.25">
      <c r="G1646"/>
      <c r="H1646"/>
      <c r="I1646"/>
      <c r="J1646"/>
      <c r="L1646"/>
      <c r="M1646"/>
      <c r="N1646"/>
      <c r="O1646"/>
      <c r="P1646"/>
      <c r="Q1646"/>
      <c r="R1646"/>
      <c r="S1646"/>
    </row>
    <row r="1647" spans="7:19" x14ac:dyDescent="0.25">
      <c r="G1647"/>
      <c r="H1647"/>
      <c r="I1647"/>
      <c r="J1647"/>
      <c r="L1647"/>
      <c r="M1647"/>
      <c r="N1647"/>
      <c r="O1647"/>
      <c r="P1647"/>
      <c r="Q1647"/>
      <c r="R1647"/>
      <c r="S1647"/>
    </row>
    <row r="1648" spans="7:19" x14ac:dyDescent="0.25">
      <c r="G1648"/>
      <c r="H1648"/>
      <c r="I1648"/>
      <c r="J1648"/>
      <c r="L1648"/>
      <c r="M1648"/>
      <c r="N1648"/>
      <c r="O1648"/>
      <c r="P1648"/>
      <c r="Q1648"/>
      <c r="R1648"/>
      <c r="S1648"/>
    </row>
    <row r="1649" spans="7:19" x14ac:dyDescent="0.25">
      <c r="G1649"/>
      <c r="H1649"/>
      <c r="I1649"/>
      <c r="J1649"/>
      <c r="L1649"/>
      <c r="M1649"/>
      <c r="N1649"/>
      <c r="O1649"/>
      <c r="P1649"/>
      <c r="Q1649"/>
      <c r="R1649"/>
      <c r="S1649"/>
    </row>
    <row r="1650" spans="7:19" x14ac:dyDescent="0.25">
      <c r="G1650"/>
      <c r="H1650"/>
      <c r="I1650"/>
      <c r="J1650"/>
      <c r="L1650"/>
      <c r="M1650"/>
      <c r="N1650"/>
      <c r="O1650"/>
      <c r="P1650"/>
      <c r="Q1650"/>
      <c r="R1650"/>
      <c r="S1650"/>
    </row>
    <row r="1651" spans="7:19" x14ac:dyDescent="0.25">
      <c r="G1651"/>
      <c r="H1651"/>
      <c r="I1651"/>
      <c r="J1651"/>
      <c r="L1651"/>
      <c r="M1651"/>
      <c r="N1651"/>
      <c r="O1651"/>
      <c r="P1651"/>
      <c r="Q1651"/>
      <c r="R1651"/>
      <c r="S1651"/>
    </row>
    <row r="1652" spans="7:19" x14ac:dyDescent="0.25">
      <c r="G1652"/>
      <c r="H1652"/>
      <c r="I1652"/>
      <c r="J1652"/>
      <c r="L1652"/>
      <c r="M1652"/>
      <c r="N1652"/>
      <c r="O1652"/>
      <c r="P1652"/>
      <c r="Q1652"/>
      <c r="R1652"/>
      <c r="S1652"/>
    </row>
    <row r="1653" spans="7:19" x14ac:dyDescent="0.25">
      <c r="G1653"/>
      <c r="H1653"/>
      <c r="I1653"/>
      <c r="J1653"/>
      <c r="L1653"/>
      <c r="M1653"/>
      <c r="N1653"/>
      <c r="O1653"/>
      <c r="P1653"/>
      <c r="Q1653"/>
      <c r="R1653"/>
      <c r="S1653"/>
    </row>
    <row r="1654" spans="7:19" x14ac:dyDescent="0.25">
      <c r="G1654"/>
      <c r="H1654"/>
      <c r="I1654"/>
      <c r="J1654"/>
      <c r="L1654"/>
      <c r="M1654"/>
      <c r="N1654"/>
      <c r="O1654"/>
      <c r="P1654"/>
      <c r="Q1654"/>
      <c r="R1654"/>
      <c r="S1654"/>
    </row>
    <row r="1655" spans="7:19" x14ac:dyDescent="0.25">
      <c r="G1655"/>
      <c r="H1655"/>
      <c r="I1655"/>
      <c r="J1655"/>
      <c r="L1655"/>
      <c r="M1655"/>
      <c r="N1655"/>
      <c r="O1655"/>
      <c r="P1655"/>
      <c r="Q1655"/>
      <c r="R1655"/>
      <c r="S1655"/>
    </row>
    <row r="1656" spans="7:19" x14ac:dyDescent="0.25">
      <c r="G1656"/>
      <c r="H1656"/>
      <c r="I1656"/>
      <c r="J1656"/>
      <c r="L1656"/>
      <c r="M1656"/>
      <c r="N1656"/>
      <c r="O1656"/>
      <c r="P1656"/>
      <c r="Q1656"/>
      <c r="R1656"/>
      <c r="S1656"/>
    </row>
    <row r="1657" spans="7:19" x14ac:dyDescent="0.25">
      <c r="G1657"/>
      <c r="H1657"/>
      <c r="I1657"/>
      <c r="J1657"/>
      <c r="L1657"/>
      <c r="M1657"/>
      <c r="N1657"/>
      <c r="O1657"/>
      <c r="P1657"/>
      <c r="Q1657"/>
      <c r="R1657"/>
      <c r="S1657"/>
    </row>
    <row r="1658" spans="7:19" x14ac:dyDescent="0.25">
      <c r="G1658"/>
      <c r="H1658"/>
      <c r="I1658"/>
      <c r="J1658"/>
      <c r="L1658"/>
      <c r="M1658"/>
      <c r="N1658"/>
      <c r="O1658"/>
      <c r="P1658"/>
      <c r="Q1658"/>
      <c r="R1658"/>
      <c r="S1658"/>
    </row>
    <row r="1659" spans="7:19" x14ac:dyDescent="0.25">
      <c r="G1659"/>
      <c r="H1659"/>
      <c r="I1659"/>
      <c r="J1659"/>
      <c r="L1659"/>
      <c r="M1659"/>
      <c r="N1659"/>
      <c r="O1659"/>
      <c r="P1659"/>
      <c r="Q1659"/>
      <c r="R1659"/>
      <c r="S1659"/>
    </row>
    <row r="1660" spans="7:19" x14ac:dyDescent="0.25">
      <c r="G1660"/>
      <c r="H1660"/>
      <c r="I1660"/>
      <c r="J1660"/>
      <c r="L1660"/>
      <c r="M1660"/>
      <c r="N1660"/>
      <c r="O1660"/>
      <c r="P1660"/>
      <c r="Q1660"/>
      <c r="R1660"/>
      <c r="S1660"/>
    </row>
    <row r="1661" spans="7:19" x14ac:dyDescent="0.25">
      <c r="G1661"/>
      <c r="H1661"/>
      <c r="I1661"/>
      <c r="J1661"/>
      <c r="L1661"/>
      <c r="M1661"/>
      <c r="N1661"/>
      <c r="O1661"/>
      <c r="P1661"/>
      <c r="Q1661"/>
      <c r="R1661"/>
      <c r="S1661"/>
    </row>
    <row r="1662" spans="7:19" x14ac:dyDescent="0.25">
      <c r="G1662"/>
      <c r="H1662"/>
      <c r="I1662"/>
      <c r="J1662"/>
      <c r="L1662"/>
      <c r="M1662"/>
      <c r="N1662"/>
      <c r="O1662"/>
      <c r="P1662"/>
      <c r="Q1662"/>
      <c r="R1662"/>
      <c r="S1662"/>
    </row>
    <row r="1663" spans="7:19" x14ac:dyDescent="0.25">
      <c r="G1663"/>
      <c r="H1663"/>
      <c r="I1663"/>
      <c r="J1663"/>
      <c r="L1663"/>
      <c r="M1663"/>
      <c r="N1663"/>
      <c r="O1663"/>
      <c r="P1663"/>
      <c r="Q1663"/>
      <c r="R1663"/>
      <c r="S1663"/>
    </row>
    <row r="1664" spans="7:19" x14ac:dyDescent="0.25">
      <c r="G1664"/>
      <c r="H1664"/>
      <c r="I1664"/>
      <c r="J1664"/>
      <c r="L1664"/>
      <c r="M1664"/>
      <c r="N1664"/>
      <c r="O1664"/>
      <c r="P1664"/>
      <c r="Q1664"/>
      <c r="R1664"/>
      <c r="S1664"/>
    </row>
    <row r="1665" spans="7:19" x14ac:dyDescent="0.25">
      <c r="G1665"/>
      <c r="H1665"/>
      <c r="I1665"/>
      <c r="J1665"/>
      <c r="L1665"/>
      <c r="M1665"/>
      <c r="N1665"/>
      <c r="O1665"/>
      <c r="P1665"/>
      <c r="Q1665"/>
      <c r="R1665"/>
      <c r="S1665"/>
    </row>
    <row r="1666" spans="7:19" x14ac:dyDescent="0.25">
      <c r="G1666"/>
      <c r="H1666"/>
      <c r="I1666"/>
      <c r="J1666"/>
      <c r="L1666"/>
      <c r="M1666"/>
      <c r="N1666"/>
      <c r="O1666"/>
      <c r="P1666"/>
      <c r="Q1666"/>
      <c r="R1666"/>
      <c r="S1666"/>
    </row>
    <row r="1667" spans="7:19" x14ac:dyDescent="0.25">
      <c r="G1667"/>
      <c r="H1667"/>
      <c r="I1667"/>
      <c r="J1667"/>
      <c r="L1667"/>
      <c r="M1667"/>
      <c r="N1667"/>
      <c r="O1667"/>
      <c r="P1667"/>
      <c r="Q1667"/>
      <c r="R1667"/>
      <c r="S1667"/>
    </row>
    <row r="1668" spans="7:19" x14ac:dyDescent="0.25">
      <c r="G1668"/>
      <c r="H1668"/>
      <c r="I1668"/>
      <c r="J1668"/>
      <c r="L1668"/>
      <c r="M1668"/>
      <c r="N1668"/>
      <c r="O1668"/>
      <c r="P1668"/>
      <c r="Q1668"/>
      <c r="R1668"/>
      <c r="S1668"/>
    </row>
    <row r="1669" spans="7:19" x14ac:dyDescent="0.25">
      <c r="G1669"/>
      <c r="H1669"/>
      <c r="I1669"/>
      <c r="J1669"/>
      <c r="L1669"/>
      <c r="M1669"/>
      <c r="N1669"/>
      <c r="O1669"/>
      <c r="P1669"/>
      <c r="Q1669"/>
      <c r="R1669"/>
      <c r="S1669"/>
    </row>
    <row r="1670" spans="7:19" x14ac:dyDescent="0.25">
      <c r="G1670"/>
      <c r="H1670"/>
      <c r="I1670"/>
      <c r="J1670"/>
      <c r="L1670"/>
      <c r="M1670"/>
      <c r="N1670"/>
      <c r="O1670"/>
      <c r="P1670"/>
      <c r="Q1670"/>
      <c r="R1670"/>
      <c r="S1670"/>
    </row>
    <row r="1671" spans="7:19" x14ac:dyDescent="0.25">
      <c r="G1671"/>
      <c r="H1671"/>
      <c r="I1671"/>
      <c r="J1671"/>
      <c r="L1671"/>
      <c r="M1671"/>
      <c r="N1671"/>
      <c r="O1671"/>
      <c r="P1671"/>
      <c r="Q1671"/>
      <c r="R1671"/>
      <c r="S1671"/>
    </row>
    <row r="1672" spans="7:19" x14ac:dyDescent="0.25">
      <c r="G1672"/>
      <c r="H1672"/>
      <c r="I1672"/>
      <c r="J1672"/>
      <c r="L1672"/>
      <c r="M1672"/>
      <c r="N1672"/>
      <c r="O1672"/>
      <c r="P1672"/>
      <c r="Q1672"/>
      <c r="R1672"/>
      <c r="S1672"/>
    </row>
    <row r="1673" spans="7:19" x14ac:dyDescent="0.25">
      <c r="G1673"/>
      <c r="H1673"/>
      <c r="I1673"/>
      <c r="J1673"/>
      <c r="L1673"/>
      <c r="M1673"/>
      <c r="N1673"/>
      <c r="O1673"/>
      <c r="P1673"/>
      <c r="Q1673"/>
      <c r="R1673"/>
      <c r="S1673"/>
    </row>
    <row r="1674" spans="7:19" x14ac:dyDescent="0.25">
      <c r="G1674"/>
      <c r="H1674"/>
      <c r="I1674"/>
      <c r="J1674"/>
      <c r="L1674"/>
      <c r="M1674"/>
      <c r="N1674"/>
      <c r="O1674"/>
      <c r="P1674"/>
      <c r="Q1674"/>
      <c r="R1674"/>
      <c r="S1674"/>
    </row>
    <row r="1675" spans="7:19" x14ac:dyDescent="0.25">
      <c r="G1675"/>
      <c r="H1675"/>
      <c r="I1675"/>
      <c r="J1675"/>
      <c r="L1675"/>
      <c r="M1675"/>
      <c r="N1675"/>
      <c r="O1675"/>
      <c r="P1675"/>
      <c r="Q1675"/>
      <c r="R1675"/>
      <c r="S1675"/>
    </row>
    <row r="1676" spans="7:19" x14ac:dyDescent="0.25">
      <c r="G1676"/>
      <c r="H1676"/>
      <c r="I1676"/>
      <c r="J1676"/>
      <c r="L1676"/>
      <c r="M1676"/>
      <c r="N1676"/>
      <c r="O1676"/>
      <c r="P1676"/>
      <c r="Q1676"/>
      <c r="R1676"/>
      <c r="S1676"/>
    </row>
    <row r="1677" spans="7:19" x14ac:dyDescent="0.25">
      <c r="G1677"/>
      <c r="H1677"/>
      <c r="I1677"/>
      <c r="J1677"/>
      <c r="L1677"/>
      <c r="M1677"/>
      <c r="N1677"/>
      <c r="O1677"/>
      <c r="P1677"/>
      <c r="Q1677"/>
      <c r="R1677"/>
      <c r="S1677"/>
    </row>
    <row r="1678" spans="7:19" x14ac:dyDescent="0.25">
      <c r="G1678"/>
      <c r="H1678"/>
      <c r="I1678"/>
      <c r="J1678"/>
      <c r="L1678"/>
      <c r="M1678"/>
      <c r="N1678"/>
      <c r="O1678"/>
      <c r="P1678"/>
      <c r="Q1678"/>
      <c r="R1678"/>
      <c r="S1678"/>
    </row>
    <row r="1679" spans="7:19" x14ac:dyDescent="0.25">
      <c r="G1679"/>
      <c r="H1679"/>
      <c r="I1679"/>
      <c r="J1679"/>
      <c r="L1679"/>
      <c r="M1679"/>
      <c r="N1679"/>
      <c r="O1679"/>
      <c r="P1679"/>
      <c r="Q1679"/>
      <c r="R1679"/>
      <c r="S1679"/>
    </row>
    <row r="1680" spans="7:19" x14ac:dyDescent="0.25">
      <c r="G1680"/>
      <c r="H1680"/>
      <c r="I1680"/>
      <c r="J1680"/>
      <c r="L1680"/>
      <c r="M1680"/>
      <c r="N1680"/>
      <c r="O1680"/>
      <c r="P1680"/>
      <c r="Q1680"/>
      <c r="R1680"/>
      <c r="S1680"/>
    </row>
    <row r="1681" spans="7:19" x14ac:dyDescent="0.25">
      <c r="G1681"/>
      <c r="H1681"/>
      <c r="I1681"/>
      <c r="J1681"/>
      <c r="L1681"/>
      <c r="M1681"/>
      <c r="N1681"/>
      <c r="O1681"/>
      <c r="P1681"/>
      <c r="Q1681"/>
      <c r="R1681"/>
      <c r="S1681"/>
    </row>
    <row r="1682" spans="7:19" x14ac:dyDescent="0.25">
      <c r="G1682"/>
      <c r="H1682"/>
      <c r="I1682"/>
      <c r="J1682"/>
      <c r="L1682"/>
      <c r="M1682"/>
      <c r="N1682"/>
      <c r="O1682"/>
      <c r="P1682"/>
      <c r="Q1682"/>
      <c r="R1682"/>
      <c r="S1682"/>
    </row>
    <row r="1683" spans="7:19" x14ac:dyDescent="0.25">
      <c r="G1683"/>
      <c r="H1683"/>
      <c r="I1683"/>
      <c r="J1683"/>
      <c r="L1683"/>
      <c r="M1683"/>
      <c r="N1683"/>
      <c r="O1683"/>
      <c r="P1683"/>
      <c r="Q1683"/>
      <c r="R1683"/>
      <c r="S1683"/>
    </row>
    <row r="1684" spans="7:19" x14ac:dyDescent="0.25">
      <c r="G1684"/>
      <c r="H1684"/>
      <c r="I1684"/>
      <c r="J1684"/>
      <c r="L1684"/>
      <c r="M1684"/>
      <c r="N1684"/>
      <c r="O1684"/>
      <c r="P1684"/>
      <c r="Q1684"/>
      <c r="R1684"/>
      <c r="S1684"/>
    </row>
    <row r="1685" spans="7:19" x14ac:dyDescent="0.25">
      <c r="G1685"/>
      <c r="H1685"/>
      <c r="I1685"/>
      <c r="J1685"/>
      <c r="L1685"/>
      <c r="M1685"/>
      <c r="N1685"/>
      <c r="O1685"/>
      <c r="P1685"/>
      <c r="Q1685"/>
      <c r="R1685"/>
      <c r="S1685"/>
    </row>
    <row r="1686" spans="7:19" x14ac:dyDescent="0.25">
      <c r="G1686"/>
      <c r="H1686"/>
      <c r="I1686"/>
      <c r="J1686"/>
      <c r="L1686"/>
      <c r="M1686"/>
      <c r="N1686"/>
      <c r="O1686"/>
      <c r="P1686"/>
      <c r="Q1686"/>
      <c r="R1686"/>
      <c r="S1686"/>
    </row>
    <row r="1687" spans="7:19" x14ac:dyDescent="0.25">
      <c r="G1687"/>
      <c r="H1687"/>
      <c r="I1687"/>
      <c r="J1687"/>
      <c r="L1687"/>
      <c r="M1687"/>
      <c r="N1687"/>
      <c r="O1687"/>
      <c r="P1687"/>
      <c r="Q1687"/>
      <c r="R1687"/>
      <c r="S1687"/>
    </row>
    <row r="1688" spans="7:19" x14ac:dyDescent="0.25">
      <c r="G1688"/>
      <c r="H1688"/>
      <c r="I1688"/>
      <c r="J1688"/>
      <c r="L1688"/>
      <c r="M1688"/>
      <c r="N1688"/>
      <c r="O1688"/>
      <c r="P1688"/>
      <c r="Q1688"/>
      <c r="R1688"/>
      <c r="S1688"/>
    </row>
    <row r="1689" spans="7:19" x14ac:dyDescent="0.25">
      <c r="G1689"/>
      <c r="H1689"/>
      <c r="I1689"/>
      <c r="J1689"/>
      <c r="L1689"/>
      <c r="M1689"/>
      <c r="N1689"/>
      <c r="O1689"/>
      <c r="P1689"/>
      <c r="Q1689"/>
      <c r="R1689"/>
      <c r="S1689"/>
    </row>
    <row r="1690" spans="7:19" x14ac:dyDescent="0.25">
      <c r="G1690"/>
      <c r="H1690"/>
      <c r="I1690"/>
      <c r="J1690"/>
      <c r="L1690"/>
      <c r="M1690"/>
      <c r="N1690"/>
      <c r="O1690"/>
      <c r="P1690"/>
      <c r="Q1690"/>
      <c r="R1690"/>
      <c r="S1690"/>
    </row>
    <row r="1691" spans="7:19" x14ac:dyDescent="0.25">
      <c r="G1691"/>
      <c r="H1691"/>
      <c r="I1691"/>
      <c r="J1691"/>
      <c r="L1691"/>
      <c r="M1691"/>
      <c r="N1691"/>
      <c r="O1691"/>
      <c r="P1691"/>
      <c r="Q1691"/>
      <c r="R1691"/>
      <c r="S1691"/>
    </row>
    <row r="1692" spans="7:19" x14ac:dyDescent="0.25">
      <c r="G1692"/>
      <c r="H1692"/>
      <c r="I1692"/>
      <c r="J1692"/>
      <c r="L1692"/>
      <c r="M1692"/>
      <c r="N1692"/>
      <c r="O1692"/>
      <c r="P1692"/>
      <c r="Q1692"/>
      <c r="R1692"/>
      <c r="S1692"/>
    </row>
    <row r="1693" spans="7:19" x14ac:dyDescent="0.25">
      <c r="G1693"/>
      <c r="H1693"/>
      <c r="I1693"/>
      <c r="J1693"/>
      <c r="L1693"/>
      <c r="M1693"/>
      <c r="N1693"/>
      <c r="O1693"/>
      <c r="P1693"/>
      <c r="Q1693"/>
      <c r="R1693"/>
      <c r="S1693"/>
    </row>
    <row r="1694" spans="7:19" x14ac:dyDescent="0.25">
      <c r="G1694"/>
      <c r="H1694"/>
      <c r="I1694"/>
      <c r="J1694"/>
      <c r="L1694"/>
      <c r="M1694"/>
      <c r="N1694"/>
      <c r="O1694"/>
      <c r="P1694"/>
      <c r="Q1694"/>
      <c r="R1694"/>
      <c r="S1694"/>
    </row>
    <row r="1695" spans="7:19" x14ac:dyDescent="0.25">
      <c r="G1695"/>
      <c r="H1695"/>
      <c r="I1695"/>
      <c r="J1695"/>
      <c r="L1695"/>
      <c r="M1695"/>
      <c r="N1695"/>
      <c r="O1695"/>
      <c r="P1695"/>
      <c r="Q1695"/>
      <c r="R1695"/>
      <c r="S1695"/>
    </row>
    <row r="1696" spans="7:19" x14ac:dyDescent="0.25">
      <c r="G1696"/>
      <c r="H1696"/>
      <c r="I1696"/>
      <c r="J1696"/>
      <c r="L1696"/>
      <c r="M1696"/>
      <c r="N1696"/>
      <c r="O1696"/>
      <c r="P1696"/>
      <c r="Q1696"/>
      <c r="R1696"/>
      <c r="S1696"/>
    </row>
    <row r="1697" spans="7:19" x14ac:dyDescent="0.25">
      <c r="G1697"/>
      <c r="H1697"/>
      <c r="I1697"/>
      <c r="J1697"/>
      <c r="L1697"/>
      <c r="M1697"/>
      <c r="N1697"/>
      <c r="O1697"/>
      <c r="P1697"/>
      <c r="Q1697"/>
      <c r="R1697"/>
      <c r="S1697"/>
    </row>
    <row r="1698" spans="7:19" x14ac:dyDescent="0.25">
      <c r="G1698"/>
      <c r="H1698"/>
      <c r="I1698"/>
      <c r="J1698"/>
      <c r="L1698"/>
      <c r="M1698"/>
      <c r="N1698"/>
      <c r="O1698"/>
      <c r="P1698"/>
      <c r="Q1698"/>
      <c r="R1698"/>
      <c r="S1698"/>
    </row>
    <row r="1699" spans="7:19" x14ac:dyDescent="0.25">
      <c r="G1699"/>
      <c r="H1699"/>
      <c r="I1699"/>
      <c r="J1699"/>
      <c r="L1699"/>
      <c r="M1699"/>
      <c r="N1699"/>
      <c r="O1699"/>
      <c r="P1699"/>
      <c r="Q1699"/>
      <c r="R1699"/>
      <c r="S1699"/>
    </row>
    <row r="1700" spans="7:19" x14ac:dyDescent="0.25">
      <c r="G1700"/>
      <c r="H1700"/>
      <c r="I1700"/>
      <c r="J1700"/>
      <c r="L1700"/>
      <c r="M1700"/>
      <c r="N1700"/>
      <c r="O1700"/>
      <c r="P1700"/>
      <c r="Q1700"/>
      <c r="R1700"/>
      <c r="S1700"/>
    </row>
    <row r="1701" spans="7:19" x14ac:dyDescent="0.25">
      <c r="G1701"/>
      <c r="H1701"/>
      <c r="I1701"/>
      <c r="J1701"/>
      <c r="L1701"/>
      <c r="M1701"/>
      <c r="N1701"/>
      <c r="O1701"/>
      <c r="P1701"/>
      <c r="Q1701"/>
      <c r="R1701"/>
      <c r="S1701"/>
    </row>
    <row r="1702" spans="7:19" x14ac:dyDescent="0.25">
      <c r="G1702"/>
      <c r="H1702"/>
      <c r="I1702"/>
      <c r="J1702"/>
      <c r="L1702"/>
      <c r="M1702"/>
      <c r="N1702"/>
      <c r="O1702"/>
      <c r="P1702"/>
      <c r="Q1702"/>
      <c r="R1702"/>
      <c r="S1702"/>
    </row>
    <row r="1703" spans="7:19" x14ac:dyDescent="0.25">
      <c r="G1703"/>
      <c r="H1703"/>
      <c r="I1703"/>
      <c r="J1703"/>
      <c r="L1703"/>
      <c r="M1703"/>
      <c r="N1703"/>
      <c r="O1703"/>
      <c r="P1703"/>
      <c r="Q1703"/>
      <c r="R1703"/>
      <c r="S1703"/>
    </row>
    <row r="1704" spans="7:19" x14ac:dyDescent="0.25">
      <c r="G1704"/>
      <c r="H1704"/>
      <c r="I1704"/>
      <c r="J1704"/>
      <c r="L1704"/>
      <c r="M1704"/>
      <c r="N1704"/>
      <c r="O1704"/>
      <c r="P1704"/>
      <c r="Q1704"/>
      <c r="R1704"/>
      <c r="S1704"/>
    </row>
    <row r="1705" spans="7:19" x14ac:dyDescent="0.25">
      <c r="G1705"/>
      <c r="H1705"/>
      <c r="I1705"/>
      <c r="J1705"/>
      <c r="L1705"/>
      <c r="M1705"/>
      <c r="N1705"/>
      <c r="O1705"/>
      <c r="P1705"/>
      <c r="Q1705"/>
      <c r="R1705"/>
      <c r="S1705"/>
    </row>
    <row r="1706" spans="7:19" x14ac:dyDescent="0.25">
      <c r="G1706"/>
      <c r="H1706"/>
      <c r="I1706"/>
      <c r="J1706"/>
      <c r="L1706"/>
      <c r="M1706"/>
      <c r="N1706"/>
      <c r="O1706"/>
      <c r="P1706"/>
      <c r="Q1706"/>
      <c r="R1706"/>
      <c r="S1706"/>
    </row>
    <row r="1707" spans="7:19" x14ac:dyDescent="0.25">
      <c r="G1707"/>
      <c r="H1707"/>
      <c r="I1707"/>
      <c r="J1707"/>
      <c r="L1707"/>
      <c r="M1707"/>
      <c r="N1707"/>
      <c r="O1707"/>
      <c r="P1707"/>
      <c r="Q1707"/>
      <c r="R1707"/>
      <c r="S1707"/>
    </row>
    <row r="1708" spans="7:19" x14ac:dyDescent="0.25">
      <c r="G1708"/>
      <c r="H1708"/>
      <c r="I1708"/>
      <c r="J1708"/>
      <c r="L1708"/>
      <c r="M1708"/>
      <c r="N1708"/>
      <c r="O1708"/>
      <c r="P1708"/>
      <c r="Q1708"/>
      <c r="R1708"/>
      <c r="S1708"/>
    </row>
    <row r="1709" spans="7:19" x14ac:dyDescent="0.25">
      <c r="G1709"/>
      <c r="H1709"/>
      <c r="I1709"/>
      <c r="J1709"/>
      <c r="L1709"/>
      <c r="M1709"/>
      <c r="N1709"/>
      <c r="O1709"/>
      <c r="P1709"/>
      <c r="Q1709"/>
      <c r="R1709"/>
      <c r="S1709"/>
    </row>
    <row r="1710" spans="7:19" x14ac:dyDescent="0.25">
      <c r="G1710"/>
      <c r="H1710"/>
      <c r="I1710"/>
      <c r="J1710"/>
      <c r="L1710"/>
      <c r="M1710"/>
      <c r="N1710"/>
      <c r="O1710"/>
      <c r="P1710"/>
      <c r="Q1710"/>
      <c r="R1710"/>
      <c r="S1710"/>
    </row>
    <row r="1711" spans="7:19" x14ac:dyDescent="0.25">
      <c r="G1711"/>
      <c r="H1711"/>
      <c r="I1711"/>
      <c r="J1711"/>
      <c r="L1711"/>
      <c r="M1711"/>
      <c r="N1711"/>
      <c r="O1711"/>
      <c r="P1711"/>
      <c r="Q1711"/>
      <c r="R1711"/>
      <c r="S1711"/>
    </row>
    <row r="1712" spans="7:19" x14ac:dyDescent="0.25">
      <c r="G1712"/>
      <c r="H1712"/>
      <c r="I1712"/>
      <c r="J1712"/>
      <c r="L1712"/>
      <c r="M1712"/>
      <c r="N1712"/>
      <c r="O1712"/>
      <c r="P1712"/>
      <c r="Q1712"/>
      <c r="R1712"/>
      <c r="S1712"/>
    </row>
    <row r="1713" spans="7:19" x14ac:dyDescent="0.25">
      <c r="G1713"/>
      <c r="H1713"/>
      <c r="I1713"/>
      <c r="J1713"/>
      <c r="L1713"/>
      <c r="M1713"/>
      <c r="N1713"/>
      <c r="O1713"/>
      <c r="P1713"/>
      <c r="Q1713"/>
      <c r="R1713"/>
      <c r="S1713"/>
    </row>
    <row r="1714" spans="7:19" x14ac:dyDescent="0.25">
      <c r="G1714"/>
      <c r="H1714"/>
      <c r="I1714"/>
      <c r="J1714"/>
      <c r="L1714"/>
      <c r="M1714"/>
      <c r="N1714"/>
      <c r="O1714"/>
      <c r="P1714"/>
      <c r="Q1714"/>
      <c r="R1714"/>
      <c r="S1714"/>
    </row>
    <row r="1715" spans="7:19" x14ac:dyDescent="0.25">
      <c r="G1715"/>
      <c r="H1715"/>
      <c r="I1715"/>
      <c r="J1715"/>
      <c r="L1715"/>
      <c r="M1715"/>
      <c r="N1715"/>
      <c r="O1715"/>
      <c r="P1715"/>
      <c r="Q1715"/>
      <c r="R1715"/>
      <c r="S1715"/>
    </row>
    <row r="1716" spans="7:19" x14ac:dyDescent="0.25">
      <c r="G1716"/>
      <c r="H1716"/>
      <c r="I1716"/>
      <c r="J1716"/>
      <c r="L1716"/>
      <c r="M1716"/>
      <c r="N1716"/>
      <c r="O1716"/>
      <c r="P1716"/>
      <c r="Q1716"/>
      <c r="R1716"/>
      <c r="S1716"/>
    </row>
    <row r="1717" spans="7:19" x14ac:dyDescent="0.25">
      <c r="G1717"/>
      <c r="H1717"/>
      <c r="I1717"/>
      <c r="J1717"/>
      <c r="L1717"/>
      <c r="M1717"/>
      <c r="N1717"/>
      <c r="O1717"/>
      <c r="P1717"/>
      <c r="Q1717"/>
      <c r="R1717"/>
      <c r="S1717"/>
    </row>
    <row r="1718" spans="7:19" x14ac:dyDescent="0.25">
      <c r="G1718"/>
      <c r="H1718"/>
      <c r="I1718"/>
      <c r="J1718"/>
      <c r="L1718"/>
      <c r="M1718"/>
      <c r="N1718"/>
      <c r="O1718"/>
      <c r="P1718"/>
      <c r="Q1718"/>
      <c r="R1718"/>
      <c r="S1718"/>
    </row>
    <row r="1719" spans="7:19" x14ac:dyDescent="0.25">
      <c r="G1719"/>
      <c r="H1719"/>
      <c r="I1719"/>
      <c r="J1719"/>
      <c r="L1719"/>
      <c r="M1719"/>
      <c r="N1719"/>
      <c r="O1719"/>
      <c r="P1719"/>
      <c r="Q1719"/>
      <c r="R1719"/>
      <c r="S1719"/>
    </row>
    <row r="1720" spans="7:19" x14ac:dyDescent="0.25">
      <c r="G1720"/>
      <c r="H1720"/>
      <c r="I1720"/>
      <c r="J1720"/>
      <c r="L1720"/>
      <c r="M1720"/>
      <c r="N1720"/>
      <c r="O1720"/>
      <c r="P1720"/>
      <c r="Q1720"/>
      <c r="R1720"/>
      <c r="S1720"/>
    </row>
    <row r="1721" spans="7:19" x14ac:dyDescent="0.25">
      <c r="G1721"/>
      <c r="H1721"/>
      <c r="I1721"/>
      <c r="J1721"/>
      <c r="L1721"/>
      <c r="M1721"/>
      <c r="N1721"/>
      <c r="O1721"/>
      <c r="P1721"/>
      <c r="Q1721"/>
      <c r="R1721"/>
      <c r="S1721"/>
    </row>
    <row r="1722" spans="7:19" x14ac:dyDescent="0.25">
      <c r="G1722"/>
      <c r="H1722"/>
      <c r="I1722"/>
      <c r="J1722"/>
      <c r="L1722"/>
      <c r="M1722"/>
      <c r="N1722"/>
      <c r="O1722"/>
      <c r="P1722"/>
      <c r="Q1722"/>
      <c r="R1722"/>
      <c r="S1722"/>
    </row>
    <row r="1723" spans="7:19" x14ac:dyDescent="0.25">
      <c r="G1723"/>
      <c r="H1723"/>
      <c r="I1723"/>
      <c r="J1723"/>
      <c r="L1723"/>
      <c r="M1723"/>
      <c r="N1723"/>
      <c r="O1723"/>
      <c r="P1723"/>
      <c r="Q1723"/>
      <c r="R1723"/>
      <c r="S1723"/>
    </row>
    <row r="1724" spans="7:19" x14ac:dyDescent="0.25">
      <c r="G1724"/>
      <c r="H1724"/>
      <c r="I1724"/>
      <c r="J1724"/>
      <c r="L1724"/>
      <c r="M1724"/>
      <c r="N1724"/>
      <c r="O1724"/>
      <c r="P1724"/>
      <c r="Q1724"/>
      <c r="R1724"/>
      <c r="S1724"/>
    </row>
    <row r="1725" spans="7:19" x14ac:dyDescent="0.25">
      <c r="G1725"/>
      <c r="H1725"/>
      <c r="I1725"/>
      <c r="J1725"/>
      <c r="L1725"/>
      <c r="M1725"/>
      <c r="N1725"/>
      <c r="O1725"/>
      <c r="P1725"/>
      <c r="Q1725"/>
      <c r="R1725"/>
      <c r="S1725"/>
    </row>
    <row r="1726" spans="7:19" x14ac:dyDescent="0.25">
      <c r="G1726"/>
      <c r="H1726"/>
      <c r="I1726"/>
      <c r="J1726"/>
      <c r="L1726"/>
      <c r="M1726"/>
      <c r="N1726"/>
      <c r="O1726"/>
      <c r="P1726"/>
      <c r="Q1726"/>
      <c r="R1726"/>
      <c r="S1726"/>
    </row>
    <row r="1727" spans="7:19" x14ac:dyDescent="0.25">
      <c r="G1727"/>
      <c r="H1727"/>
      <c r="I1727"/>
      <c r="J1727"/>
      <c r="L1727"/>
      <c r="M1727"/>
      <c r="N1727"/>
      <c r="O1727"/>
      <c r="P1727"/>
      <c r="Q1727"/>
      <c r="R1727"/>
      <c r="S1727"/>
    </row>
    <row r="1728" spans="7:19" x14ac:dyDescent="0.25">
      <c r="G1728"/>
      <c r="H1728"/>
      <c r="I1728"/>
      <c r="J1728"/>
      <c r="L1728"/>
      <c r="M1728"/>
      <c r="N1728"/>
      <c r="O1728"/>
      <c r="P1728"/>
      <c r="Q1728"/>
      <c r="R1728"/>
      <c r="S1728"/>
    </row>
    <row r="1729" spans="7:19" x14ac:dyDescent="0.25">
      <c r="G1729"/>
      <c r="H1729"/>
      <c r="I1729"/>
      <c r="J1729"/>
      <c r="L1729"/>
      <c r="M1729"/>
      <c r="N1729"/>
      <c r="O1729"/>
      <c r="P1729"/>
      <c r="Q1729"/>
      <c r="R1729"/>
      <c r="S1729"/>
    </row>
    <row r="1730" spans="7:19" x14ac:dyDescent="0.25">
      <c r="G1730"/>
      <c r="H1730"/>
      <c r="I1730"/>
      <c r="J1730"/>
      <c r="L1730"/>
      <c r="M1730"/>
      <c r="N1730"/>
      <c r="O1730"/>
      <c r="P1730"/>
      <c r="Q1730"/>
      <c r="R1730"/>
      <c r="S1730"/>
    </row>
    <row r="1731" spans="7:19" x14ac:dyDescent="0.25">
      <c r="G1731"/>
      <c r="H1731"/>
      <c r="I1731"/>
      <c r="J1731"/>
      <c r="L1731"/>
      <c r="M1731"/>
      <c r="N1731"/>
      <c r="O1731"/>
      <c r="P1731"/>
      <c r="Q1731"/>
      <c r="R1731"/>
      <c r="S1731"/>
    </row>
    <row r="1732" spans="7:19" x14ac:dyDescent="0.25">
      <c r="G1732"/>
      <c r="H1732"/>
      <c r="I1732"/>
      <c r="J1732"/>
      <c r="L1732"/>
      <c r="M1732"/>
      <c r="N1732"/>
      <c r="O1732"/>
      <c r="P1732"/>
      <c r="Q1732"/>
      <c r="R1732"/>
      <c r="S1732"/>
    </row>
    <row r="1733" spans="7:19" x14ac:dyDescent="0.25">
      <c r="G1733"/>
      <c r="H1733"/>
      <c r="I1733"/>
      <c r="J1733"/>
      <c r="L1733"/>
      <c r="M1733"/>
      <c r="N1733"/>
      <c r="O1733"/>
      <c r="P1733"/>
      <c r="Q1733"/>
      <c r="R1733"/>
      <c r="S1733"/>
    </row>
    <row r="1734" spans="7:19" x14ac:dyDescent="0.25">
      <c r="G1734"/>
      <c r="H1734"/>
      <c r="I1734"/>
      <c r="J1734"/>
      <c r="L1734"/>
      <c r="M1734"/>
      <c r="N1734"/>
      <c r="O1734"/>
      <c r="P1734"/>
      <c r="Q1734"/>
      <c r="R1734"/>
      <c r="S1734"/>
    </row>
    <row r="1735" spans="7:19" x14ac:dyDescent="0.25">
      <c r="G1735"/>
      <c r="H1735"/>
      <c r="I1735"/>
      <c r="J1735"/>
      <c r="L1735"/>
      <c r="M1735"/>
      <c r="N1735"/>
      <c r="O1735"/>
      <c r="P1735"/>
      <c r="Q1735"/>
      <c r="R1735"/>
      <c r="S1735"/>
    </row>
    <row r="1736" spans="7:19" x14ac:dyDescent="0.25">
      <c r="G1736"/>
      <c r="H1736"/>
      <c r="I1736"/>
      <c r="J1736"/>
      <c r="L1736"/>
      <c r="M1736"/>
      <c r="N1736"/>
      <c r="O1736"/>
      <c r="P1736"/>
      <c r="Q1736"/>
      <c r="R1736"/>
      <c r="S1736"/>
    </row>
    <row r="1737" spans="7:19" x14ac:dyDescent="0.25">
      <c r="G1737"/>
      <c r="H1737"/>
      <c r="I1737"/>
      <c r="J1737"/>
      <c r="L1737"/>
      <c r="M1737"/>
      <c r="N1737"/>
      <c r="O1737"/>
      <c r="P1737"/>
      <c r="Q1737"/>
      <c r="R1737"/>
      <c r="S1737"/>
    </row>
    <row r="1738" spans="7:19" x14ac:dyDescent="0.25">
      <c r="G1738"/>
      <c r="H1738"/>
      <c r="I1738"/>
      <c r="J1738"/>
      <c r="L1738"/>
      <c r="M1738"/>
      <c r="N1738"/>
      <c r="O1738"/>
      <c r="P1738"/>
      <c r="Q1738"/>
      <c r="R1738"/>
      <c r="S1738"/>
    </row>
    <row r="1739" spans="7:19" x14ac:dyDescent="0.25">
      <c r="G1739"/>
      <c r="H1739"/>
      <c r="I1739"/>
      <c r="J1739"/>
      <c r="L1739"/>
      <c r="M1739"/>
      <c r="N1739"/>
      <c r="O1739"/>
      <c r="P1739"/>
      <c r="Q1739"/>
      <c r="R1739"/>
      <c r="S1739"/>
    </row>
    <row r="1740" spans="7:19" x14ac:dyDescent="0.25">
      <c r="G1740"/>
      <c r="H1740"/>
      <c r="I1740"/>
      <c r="J1740"/>
      <c r="L1740"/>
      <c r="M1740"/>
      <c r="N1740"/>
      <c r="O1740"/>
      <c r="P1740"/>
      <c r="Q1740"/>
      <c r="R1740"/>
      <c r="S1740"/>
    </row>
    <row r="1741" spans="7:19" x14ac:dyDescent="0.25">
      <c r="G1741"/>
      <c r="H1741"/>
      <c r="I1741"/>
      <c r="J1741"/>
      <c r="L1741"/>
      <c r="M1741"/>
      <c r="N1741"/>
      <c r="O1741"/>
      <c r="P1741"/>
      <c r="Q1741"/>
      <c r="R1741"/>
      <c r="S1741"/>
    </row>
    <row r="1742" spans="7:19" x14ac:dyDescent="0.25">
      <c r="G1742"/>
      <c r="H1742"/>
      <c r="I1742"/>
      <c r="J1742"/>
      <c r="L1742"/>
      <c r="M1742"/>
      <c r="N1742"/>
      <c r="O1742"/>
      <c r="P1742"/>
      <c r="Q1742"/>
      <c r="R1742"/>
      <c r="S1742"/>
    </row>
    <row r="1743" spans="7:19" x14ac:dyDescent="0.25">
      <c r="G1743"/>
      <c r="H1743"/>
      <c r="I1743"/>
      <c r="J1743"/>
      <c r="L1743"/>
      <c r="M1743"/>
      <c r="N1743"/>
      <c r="O1743"/>
      <c r="P1743"/>
      <c r="Q1743"/>
      <c r="R1743"/>
      <c r="S1743"/>
    </row>
    <row r="1744" spans="7:19" x14ac:dyDescent="0.25">
      <c r="G1744"/>
      <c r="H1744"/>
      <c r="I1744"/>
      <c r="J1744"/>
      <c r="L1744"/>
      <c r="M1744"/>
      <c r="N1744"/>
      <c r="O1744"/>
      <c r="P1744"/>
      <c r="Q1744"/>
      <c r="R1744"/>
      <c r="S1744"/>
    </row>
    <row r="1745" spans="7:19" x14ac:dyDescent="0.25">
      <c r="G1745"/>
      <c r="H1745"/>
      <c r="I1745"/>
      <c r="J1745"/>
      <c r="L1745"/>
      <c r="M1745"/>
      <c r="N1745"/>
      <c r="O1745"/>
      <c r="P1745"/>
      <c r="Q1745"/>
      <c r="R1745"/>
      <c r="S1745"/>
    </row>
    <row r="1746" spans="7:19" x14ac:dyDescent="0.25">
      <c r="G1746"/>
      <c r="H1746"/>
      <c r="I1746"/>
      <c r="J1746"/>
      <c r="L1746"/>
      <c r="M1746"/>
      <c r="N1746"/>
      <c r="O1746"/>
      <c r="P1746"/>
      <c r="Q1746"/>
      <c r="R1746"/>
      <c r="S1746"/>
    </row>
    <row r="1747" spans="7:19" x14ac:dyDescent="0.25">
      <c r="G1747"/>
      <c r="H1747"/>
      <c r="I1747"/>
      <c r="J1747"/>
      <c r="L1747"/>
      <c r="M1747"/>
      <c r="N1747"/>
      <c r="O1747"/>
      <c r="P1747"/>
      <c r="Q1747"/>
      <c r="R1747"/>
      <c r="S1747"/>
    </row>
    <row r="1748" spans="7:19" x14ac:dyDescent="0.25">
      <c r="G1748"/>
      <c r="H1748"/>
      <c r="I1748"/>
      <c r="J1748"/>
      <c r="L1748"/>
      <c r="M1748"/>
      <c r="N1748"/>
      <c r="O1748"/>
      <c r="P1748"/>
      <c r="Q1748"/>
      <c r="R1748"/>
      <c r="S1748"/>
    </row>
    <row r="1749" spans="7:19" x14ac:dyDescent="0.25">
      <c r="G1749"/>
      <c r="H1749"/>
      <c r="I1749"/>
      <c r="J1749"/>
      <c r="L1749"/>
      <c r="M1749"/>
      <c r="N1749"/>
      <c r="O1749"/>
      <c r="P1749"/>
      <c r="Q1749"/>
      <c r="R1749"/>
      <c r="S1749"/>
    </row>
    <row r="1750" spans="7:19" x14ac:dyDescent="0.25">
      <c r="G1750"/>
      <c r="H1750"/>
      <c r="I1750"/>
      <c r="J1750"/>
      <c r="L1750"/>
      <c r="M1750"/>
      <c r="N1750"/>
      <c r="O1750"/>
      <c r="P1750"/>
      <c r="Q1750"/>
      <c r="R1750"/>
      <c r="S1750"/>
    </row>
    <row r="1751" spans="7:19" x14ac:dyDescent="0.25">
      <c r="G1751"/>
      <c r="H1751"/>
      <c r="I1751"/>
      <c r="J1751"/>
      <c r="L1751"/>
      <c r="M1751"/>
      <c r="N1751"/>
      <c r="O1751"/>
      <c r="P1751"/>
      <c r="Q1751"/>
      <c r="R1751"/>
      <c r="S1751"/>
    </row>
    <row r="1752" spans="7:19" x14ac:dyDescent="0.25">
      <c r="G1752"/>
      <c r="H1752"/>
      <c r="I1752"/>
      <c r="J1752"/>
      <c r="L1752"/>
      <c r="M1752"/>
      <c r="N1752"/>
      <c r="O1752"/>
      <c r="P1752"/>
      <c r="Q1752"/>
      <c r="R1752"/>
      <c r="S1752"/>
    </row>
    <row r="1753" spans="7:19" x14ac:dyDescent="0.25">
      <c r="G1753"/>
      <c r="H1753"/>
      <c r="I1753"/>
      <c r="J1753"/>
      <c r="L1753"/>
      <c r="M1753"/>
      <c r="N1753"/>
      <c r="O1753"/>
      <c r="P1753"/>
      <c r="Q1753"/>
      <c r="R1753"/>
      <c r="S1753"/>
    </row>
    <row r="1754" spans="7:19" x14ac:dyDescent="0.25">
      <c r="G1754"/>
      <c r="H1754"/>
      <c r="I1754"/>
      <c r="J1754"/>
      <c r="L1754"/>
      <c r="M1754"/>
      <c r="N1754"/>
      <c r="O1754"/>
      <c r="P1754"/>
      <c r="Q1754"/>
      <c r="R1754"/>
      <c r="S1754"/>
    </row>
    <row r="1755" spans="7:19" x14ac:dyDescent="0.25">
      <c r="G1755"/>
      <c r="H1755"/>
      <c r="I1755"/>
      <c r="J1755"/>
      <c r="L1755"/>
      <c r="M1755"/>
      <c r="N1755"/>
      <c r="O1755"/>
      <c r="P1755"/>
      <c r="Q1755"/>
      <c r="R1755"/>
      <c r="S1755"/>
    </row>
    <row r="1756" spans="7:19" x14ac:dyDescent="0.25">
      <c r="G1756"/>
      <c r="H1756"/>
      <c r="I1756"/>
      <c r="J1756"/>
      <c r="L1756"/>
      <c r="M1756"/>
      <c r="N1756"/>
      <c r="O1756"/>
      <c r="P1756"/>
      <c r="Q1756"/>
      <c r="R1756"/>
      <c r="S1756"/>
    </row>
    <row r="1757" spans="7:19" x14ac:dyDescent="0.25">
      <c r="G1757"/>
      <c r="H1757"/>
      <c r="I1757"/>
      <c r="J1757"/>
      <c r="L1757"/>
      <c r="M1757"/>
      <c r="N1757"/>
      <c r="O1757"/>
      <c r="P1757"/>
      <c r="Q1757"/>
      <c r="R1757"/>
      <c r="S1757"/>
    </row>
    <row r="1758" spans="7:19" x14ac:dyDescent="0.25">
      <c r="G1758"/>
      <c r="H1758"/>
      <c r="I1758"/>
      <c r="J1758"/>
      <c r="L1758"/>
      <c r="M1758"/>
      <c r="N1758"/>
      <c r="O1758"/>
      <c r="P1758"/>
      <c r="Q1758"/>
      <c r="R1758"/>
      <c r="S1758"/>
    </row>
    <row r="1759" spans="7:19" x14ac:dyDescent="0.25">
      <c r="G1759"/>
      <c r="H1759"/>
      <c r="I1759"/>
      <c r="J1759"/>
      <c r="L1759"/>
      <c r="M1759"/>
      <c r="N1759"/>
      <c r="O1759"/>
      <c r="P1759"/>
      <c r="Q1759"/>
      <c r="R1759"/>
      <c r="S1759"/>
    </row>
    <row r="1760" spans="7:19" x14ac:dyDescent="0.25">
      <c r="G1760"/>
      <c r="H1760"/>
      <c r="I1760"/>
      <c r="J1760"/>
      <c r="L1760"/>
      <c r="M1760"/>
      <c r="N1760"/>
      <c r="O1760"/>
      <c r="P1760"/>
      <c r="Q1760"/>
      <c r="R1760"/>
      <c r="S1760"/>
    </row>
    <row r="1761" spans="7:19" x14ac:dyDescent="0.25">
      <c r="G1761"/>
      <c r="H1761"/>
      <c r="I1761"/>
      <c r="J1761"/>
      <c r="L1761"/>
      <c r="M1761"/>
      <c r="N1761"/>
      <c r="O1761"/>
      <c r="P1761"/>
      <c r="Q1761"/>
      <c r="R1761"/>
      <c r="S1761"/>
    </row>
    <row r="1762" spans="7:19" x14ac:dyDescent="0.25">
      <c r="G1762"/>
      <c r="H1762"/>
      <c r="I1762"/>
      <c r="J1762"/>
      <c r="L1762"/>
      <c r="M1762"/>
      <c r="N1762"/>
      <c r="O1762"/>
      <c r="P1762"/>
      <c r="Q1762"/>
      <c r="R1762"/>
      <c r="S1762"/>
    </row>
    <row r="1763" spans="7:19" x14ac:dyDescent="0.25">
      <c r="G1763"/>
      <c r="H1763"/>
      <c r="I1763"/>
      <c r="J1763"/>
      <c r="L1763"/>
      <c r="M1763"/>
      <c r="N1763"/>
      <c r="O1763"/>
      <c r="P1763"/>
      <c r="Q1763"/>
      <c r="R1763"/>
      <c r="S1763"/>
    </row>
    <row r="1764" spans="7:19" x14ac:dyDescent="0.25">
      <c r="G1764"/>
      <c r="H1764"/>
      <c r="I1764"/>
      <c r="J1764"/>
      <c r="L1764"/>
      <c r="M1764"/>
      <c r="N1764"/>
      <c r="O1764"/>
      <c r="P1764"/>
      <c r="Q1764"/>
      <c r="R1764"/>
      <c r="S1764"/>
    </row>
    <row r="1765" spans="7:19" x14ac:dyDescent="0.25">
      <c r="G1765"/>
      <c r="H1765"/>
      <c r="I1765"/>
      <c r="J1765"/>
      <c r="L1765"/>
      <c r="M1765"/>
      <c r="N1765"/>
      <c r="O1765"/>
      <c r="P1765"/>
      <c r="Q1765"/>
      <c r="R1765"/>
      <c r="S1765"/>
    </row>
    <row r="1766" spans="7:19" x14ac:dyDescent="0.25">
      <c r="G1766"/>
      <c r="H1766"/>
      <c r="I1766"/>
      <c r="J1766"/>
      <c r="L1766"/>
      <c r="M1766"/>
      <c r="N1766"/>
      <c r="O1766"/>
      <c r="P1766"/>
      <c r="Q1766"/>
      <c r="R1766"/>
      <c r="S1766"/>
    </row>
    <row r="1767" spans="7:19" x14ac:dyDescent="0.25">
      <c r="G1767"/>
      <c r="H1767"/>
      <c r="I1767"/>
      <c r="J1767"/>
      <c r="L1767"/>
      <c r="M1767"/>
      <c r="N1767"/>
      <c r="O1767"/>
      <c r="P1767"/>
      <c r="Q1767"/>
      <c r="R1767"/>
      <c r="S1767"/>
    </row>
    <row r="1768" spans="7:19" x14ac:dyDescent="0.25">
      <c r="G1768"/>
      <c r="H1768"/>
      <c r="I1768"/>
      <c r="J1768"/>
      <c r="L1768"/>
      <c r="M1768"/>
      <c r="N1768"/>
      <c r="O1768"/>
      <c r="P1768"/>
      <c r="Q1768"/>
      <c r="R1768"/>
      <c r="S1768"/>
    </row>
    <row r="1769" spans="7:19" x14ac:dyDescent="0.25">
      <c r="G1769"/>
      <c r="H1769"/>
      <c r="I1769"/>
      <c r="J1769"/>
      <c r="L1769"/>
      <c r="M1769"/>
      <c r="N1769"/>
      <c r="O1769"/>
      <c r="P1769"/>
      <c r="Q1769"/>
      <c r="R1769"/>
      <c r="S1769"/>
    </row>
    <row r="1770" spans="7:19" x14ac:dyDescent="0.25">
      <c r="G1770"/>
      <c r="H1770"/>
      <c r="I1770"/>
      <c r="J1770"/>
      <c r="L1770"/>
      <c r="M1770"/>
      <c r="N1770"/>
      <c r="O1770"/>
      <c r="P1770"/>
      <c r="Q1770"/>
      <c r="R1770"/>
      <c r="S1770"/>
    </row>
    <row r="1771" spans="7:19" x14ac:dyDescent="0.25">
      <c r="G1771"/>
      <c r="H1771"/>
      <c r="I1771"/>
      <c r="J1771"/>
      <c r="L1771"/>
      <c r="M1771"/>
      <c r="N1771"/>
      <c r="O1771"/>
      <c r="P1771"/>
      <c r="Q1771"/>
      <c r="R1771"/>
      <c r="S1771"/>
    </row>
    <row r="1772" spans="7:19" x14ac:dyDescent="0.25">
      <c r="G1772"/>
      <c r="H1772"/>
      <c r="I1772"/>
      <c r="J1772"/>
      <c r="L1772"/>
      <c r="M1772"/>
      <c r="N1772"/>
      <c r="O1772"/>
      <c r="P1772"/>
      <c r="Q1772"/>
      <c r="R1772"/>
      <c r="S1772"/>
    </row>
    <row r="1773" spans="7:19" x14ac:dyDescent="0.25">
      <c r="G1773"/>
      <c r="H1773"/>
      <c r="I1773"/>
      <c r="J1773"/>
      <c r="L1773"/>
      <c r="M1773"/>
      <c r="N1773"/>
      <c r="O1773"/>
      <c r="P1773"/>
      <c r="Q1773"/>
      <c r="R1773"/>
      <c r="S1773"/>
    </row>
    <row r="1774" spans="7:19" x14ac:dyDescent="0.25">
      <c r="G1774"/>
      <c r="H1774"/>
      <c r="I1774"/>
      <c r="J1774"/>
      <c r="L1774"/>
      <c r="M1774"/>
      <c r="N1774"/>
      <c r="O1774"/>
      <c r="P1774"/>
      <c r="Q1774"/>
      <c r="R1774"/>
      <c r="S1774"/>
    </row>
    <row r="1775" spans="7:19" x14ac:dyDescent="0.25">
      <c r="G1775"/>
      <c r="H1775"/>
      <c r="I1775"/>
      <c r="J1775"/>
      <c r="L1775"/>
      <c r="M1775"/>
      <c r="N1775"/>
      <c r="O1775"/>
      <c r="P1775"/>
      <c r="Q1775"/>
      <c r="R1775"/>
      <c r="S1775"/>
    </row>
    <row r="1776" spans="7:19" x14ac:dyDescent="0.25">
      <c r="G1776"/>
      <c r="H1776"/>
      <c r="I1776"/>
      <c r="J1776"/>
      <c r="L1776"/>
      <c r="M1776"/>
      <c r="N1776"/>
      <c r="O1776"/>
      <c r="P1776"/>
      <c r="Q1776"/>
      <c r="R1776"/>
      <c r="S1776"/>
    </row>
    <row r="1777" spans="7:19" x14ac:dyDescent="0.25">
      <c r="G1777"/>
      <c r="H1777"/>
      <c r="I1777"/>
      <c r="J1777"/>
      <c r="L1777"/>
      <c r="M1777"/>
      <c r="N1777"/>
      <c r="O1777"/>
      <c r="P1777"/>
      <c r="Q1777"/>
      <c r="R1777"/>
      <c r="S1777"/>
    </row>
    <row r="1778" spans="7:19" x14ac:dyDescent="0.25">
      <c r="G1778"/>
      <c r="H1778"/>
      <c r="I1778"/>
      <c r="J1778"/>
      <c r="L1778"/>
      <c r="M1778"/>
      <c r="N1778"/>
      <c r="O1778"/>
      <c r="P1778"/>
      <c r="Q1778"/>
      <c r="R1778"/>
      <c r="S1778"/>
    </row>
    <row r="1779" spans="7:19" x14ac:dyDescent="0.25">
      <c r="G1779"/>
      <c r="H1779"/>
      <c r="I1779"/>
      <c r="J1779"/>
      <c r="L1779"/>
      <c r="M1779"/>
      <c r="N1779"/>
      <c r="O1779"/>
      <c r="P1779"/>
      <c r="Q1779"/>
      <c r="R1779"/>
      <c r="S1779"/>
    </row>
    <row r="1780" spans="7:19" x14ac:dyDescent="0.25">
      <c r="G1780"/>
      <c r="H1780"/>
      <c r="I1780"/>
      <c r="J1780"/>
      <c r="L1780"/>
      <c r="M1780"/>
      <c r="N1780"/>
      <c r="O1780"/>
      <c r="P1780"/>
      <c r="Q1780"/>
      <c r="R1780"/>
      <c r="S1780"/>
    </row>
    <row r="1781" spans="7:19" x14ac:dyDescent="0.25">
      <c r="G1781"/>
      <c r="H1781"/>
      <c r="I1781"/>
      <c r="J1781"/>
      <c r="L1781"/>
      <c r="M1781"/>
      <c r="N1781"/>
      <c r="O1781"/>
      <c r="P1781"/>
      <c r="Q1781"/>
      <c r="R1781"/>
      <c r="S1781"/>
    </row>
    <row r="1782" spans="7:19" x14ac:dyDescent="0.25">
      <c r="G1782"/>
      <c r="H1782"/>
      <c r="I1782"/>
      <c r="J1782"/>
      <c r="L1782"/>
      <c r="M1782"/>
      <c r="N1782"/>
      <c r="O1782"/>
      <c r="P1782"/>
      <c r="Q1782"/>
      <c r="R1782"/>
      <c r="S1782"/>
    </row>
    <row r="1783" spans="7:19" x14ac:dyDescent="0.25">
      <c r="G1783"/>
      <c r="H1783"/>
      <c r="I1783"/>
      <c r="J1783"/>
      <c r="L1783"/>
      <c r="M1783"/>
      <c r="N1783"/>
      <c r="O1783"/>
      <c r="P1783"/>
      <c r="Q1783"/>
      <c r="R1783"/>
      <c r="S1783"/>
    </row>
    <row r="1784" spans="7:19" x14ac:dyDescent="0.25">
      <c r="G1784"/>
      <c r="H1784"/>
      <c r="I1784"/>
      <c r="J1784"/>
      <c r="L1784"/>
      <c r="M1784"/>
      <c r="N1784"/>
      <c r="O1784"/>
      <c r="P1784"/>
      <c r="Q1784"/>
      <c r="R1784"/>
      <c r="S1784"/>
    </row>
    <row r="1785" spans="7:19" x14ac:dyDescent="0.25">
      <c r="G1785"/>
      <c r="H1785"/>
      <c r="I1785"/>
      <c r="J1785"/>
      <c r="L1785"/>
      <c r="M1785"/>
      <c r="N1785"/>
      <c r="O1785"/>
      <c r="P1785"/>
      <c r="Q1785"/>
      <c r="R1785"/>
      <c r="S1785"/>
    </row>
    <row r="1786" spans="7:19" x14ac:dyDescent="0.25">
      <c r="G1786"/>
      <c r="H1786"/>
      <c r="I1786"/>
      <c r="J1786"/>
      <c r="L1786"/>
      <c r="M1786"/>
      <c r="N1786"/>
      <c r="O1786"/>
      <c r="P1786"/>
      <c r="Q1786"/>
      <c r="R1786"/>
      <c r="S1786"/>
    </row>
    <row r="1787" spans="7:19" x14ac:dyDescent="0.25">
      <c r="G1787"/>
      <c r="H1787"/>
      <c r="I1787"/>
      <c r="J1787"/>
      <c r="L1787"/>
      <c r="M1787"/>
      <c r="N1787"/>
      <c r="O1787"/>
      <c r="P1787"/>
      <c r="Q1787"/>
      <c r="R1787"/>
      <c r="S1787"/>
    </row>
    <row r="1788" spans="7:19" x14ac:dyDescent="0.25">
      <c r="G1788"/>
      <c r="H1788"/>
      <c r="I1788"/>
      <c r="J1788"/>
      <c r="L1788"/>
      <c r="M1788"/>
      <c r="N1788"/>
      <c r="O1788"/>
      <c r="P1788"/>
      <c r="Q1788"/>
      <c r="R1788"/>
      <c r="S1788"/>
    </row>
    <row r="1789" spans="7:19" x14ac:dyDescent="0.25">
      <c r="G1789"/>
      <c r="H1789"/>
      <c r="I1789"/>
      <c r="J1789"/>
      <c r="L1789"/>
      <c r="M1789"/>
      <c r="N1789"/>
      <c r="O1789"/>
      <c r="P1789"/>
      <c r="Q1789"/>
      <c r="R1789"/>
      <c r="S1789"/>
    </row>
    <row r="1790" spans="7:19" x14ac:dyDescent="0.25">
      <c r="G1790"/>
      <c r="H1790"/>
      <c r="I1790"/>
      <c r="J1790"/>
      <c r="L1790"/>
      <c r="M1790"/>
      <c r="N1790"/>
      <c r="O1790"/>
      <c r="P1790"/>
      <c r="Q1790"/>
      <c r="R1790"/>
      <c r="S1790"/>
    </row>
    <row r="1791" spans="7:19" x14ac:dyDescent="0.25">
      <c r="G1791"/>
      <c r="H1791"/>
      <c r="I1791"/>
      <c r="J1791"/>
      <c r="L1791"/>
      <c r="M1791"/>
      <c r="N1791"/>
      <c r="O1791"/>
      <c r="P1791"/>
      <c r="Q1791"/>
      <c r="R1791"/>
      <c r="S1791"/>
    </row>
    <row r="1792" spans="7:19" x14ac:dyDescent="0.25">
      <c r="G1792"/>
      <c r="H1792"/>
      <c r="I1792"/>
      <c r="J1792"/>
      <c r="L1792"/>
      <c r="M1792"/>
      <c r="N1792"/>
      <c r="O1792"/>
      <c r="P1792"/>
      <c r="Q1792"/>
      <c r="R1792"/>
      <c r="S1792"/>
    </row>
    <row r="1793" spans="7:19" x14ac:dyDescent="0.25">
      <c r="G1793"/>
      <c r="H1793"/>
      <c r="I1793"/>
      <c r="J1793"/>
      <c r="L1793"/>
      <c r="M1793"/>
      <c r="N1793"/>
      <c r="O1793"/>
      <c r="P1793"/>
      <c r="Q1793"/>
      <c r="R1793"/>
      <c r="S1793"/>
    </row>
    <row r="1794" spans="7:19" x14ac:dyDescent="0.25">
      <c r="G1794"/>
      <c r="H1794"/>
      <c r="I1794"/>
      <c r="J1794"/>
      <c r="L1794"/>
      <c r="M1794"/>
      <c r="N1794"/>
      <c r="O1794"/>
      <c r="P1794"/>
      <c r="Q1794"/>
      <c r="R1794"/>
      <c r="S1794"/>
    </row>
    <row r="1795" spans="7:19" x14ac:dyDescent="0.25">
      <c r="G1795"/>
      <c r="H1795"/>
      <c r="I1795"/>
      <c r="J1795"/>
      <c r="L1795"/>
      <c r="M1795"/>
      <c r="N1795"/>
      <c r="O1795"/>
      <c r="P1795"/>
      <c r="Q1795"/>
      <c r="R1795"/>
      <c r="S1795"/>
    </row>
    <row r="1796" spans="7:19" x14ac:dyDescent="0.25">
      <c r="G1796"/>
      <c r="H1796"/>
      <c r="I1796"/>
      <c r="J1796"/>
      <c r="L1796"/>
      <c r="M1796"/>
      <c r="N1796"/>
      <c r="O1796"/>
      <c r="P1796"/>
      <c r="Q1796"/>
      <c r="R1796"/>
      <c r="S1796"/>
    </row>
    <row r="1797" spans="7:19" x14ac:dyDescent="0.25">
      <c r="G1797"/>
      <c r="H1797"/>
      <c r="I1797"/>
      <c r="J1797"/>
      <c r="L1797"/>
      <c r="M1797"/>
      <c r="N1797"/>
      <c r="O1797"/>
      <c r="P1797"/>
      <c r="Q1797"/>
      <c r="R1797"/>
      <c r="S1797"/>
    </row>
    <row r="1798" spans="7:19" x14ac:dyDescent="0.25">
      <c r="G1798"/>
      <c r="H1798"/>
      <c r="I1798"/>
      <c r="J1798"/>
      <c r="L1798"/>
      <c r="M1798"/>
      <c r="N1798"/>
      <c r="O1798"/>
      <c r="P1798"/>
      <c r="Q1798"/>
      <c r="R1798"/>
      <c r="S1798"/>
    </row>
    <row r="1799" spans="7:19" x14ac:dyDescent="0.25">
      <c r="G1799"/>
      <c r="H1799"/>
      <c r="I1799"/>
      <c r="J1799"/>
      <c r="L1799"/>
      <c r="M1799"/>
      <c r="N1799"/>
      <c r="O1799"/>
      <c r="P1799"/>
      <c r="Q1799"/>
      <c r="R1799"/>
      <c r="S1799"/>
    </row>
    <row r="1800" spans="7:19" x14ac:dyDescent="0.25">
      <c r="G1800"/>
      <c r="H1800"/>
      <c r="I1800"/>
      <c r="J1800"/>
      <c r="L1800"/>
      <c r="M1800"/>
      <c r="N1800"/>
      <c r="O1800"/>
      <c r="P1800"/>
      <c r="Q1800"/>
      <c r="R1800"/>
      <c r="S1800"/>
    </row>
    <row r="1801" spans="7:19" x14ac:dyDescent="0.25">
      <c r="G1801"/>
      <c r="H1801"/>
      <c r="I1801"/>
      <c r="J1801"/>
      <c r="L1801"/>
      <c r="M1801"/>
      <c r="N1801"/>
      <c r="O1801"/>
      <c r="P1801"/>
      <c r="Q1801"/>
      <c r="R1801"/>
      <c r="S1801"/>
    </row>
    <row r="1802" spans="7:19" x14ac:dyDescent="0.25">
      <c r="G1802"/>
      <c r="H1802"/>
      <c r="I1802"/>
      <c r="J1802"/>
      <c r="L1802"/>
      <c r="M1802"/>
      <c r="N1802"/>
      <c r="O1802"/>
      <c r="P1802"/>
      <c r="Q1802"/>
      <c r="R1802"/>
      <c r="S1802"/>
    </row>
    <row r="1803" spans="7:19" x14ac:dyDescent="0.25">
      <c r="G1803"/>
      <c r="H1803"/>
      <c r="I1803"/>
      <c r="J1803"/>
      <c r="L1803"/>
      <c r="M1803"/>
      <c r="N1803"/>
      <c r="O1803"/>
      <c r="P1803"/>
      <c r="Q1803"/>
      <c r="R1803"/>
      <c r="S1803"/>
    </row>
    <row r="1804" spans="7:19" x14ac:dyDescent="0.25">
      <c r="G1804"/>
      <c r="H1804"/>
      <c r="I1804"/>
      <c r="J1804"/>
      <c r="L1804"/>
      <c r="M1804"/>
      <c r="N1804"/>
      <c r="O1804"/>
      <c r="P1804"/>
      <c r="Q1804"/>
      <c r="R1804"/>
      <c r="S1804"/>
    </row>
    <row r="1805" spans="7:19" x14ac:dyDescent="0.25">
      <c r="G1805"/>
      <c r="H1805"/>
      <c r="I1805"/>
      <c r="J1805"/>
      <c r="L1805"/>
      <c r="M1805"/>
      <c r="N1805"/>
      <c r="O1805"/>
      <c r="P1805"/>
      <c r="Q1805"/>
      <c r="R1805"/>
      <c r="S1805"/>
    </row>
    <row r="1806" spans="7:19" x14ac:dyDescent="0.25">
      <c r="G1806"/>
      <c r="H1806"/>
      <c r="I1806"/>
      <c r="J1806"/>
      <c r="L1806"/>
      <c r="M1806"/>
      <c r="N1806"/>
      <c r="O1806"/>
      <c r="P1806"/>
      <c r="Q1806"/>
      <c r="R1806"/>
      <c r="S1806"/>
    </row>
    <row r="1807" spans="7:19" x14ac:dyDescent="0.25">
      <c r="G1807"/>
      <c r="H1807"/>
      <c r="I1807"/>
      <c r="J1807"/>
      <c r="L1807"/>
      <c r="M1807"/>
      <c r="N1807"/>
      <c r="O1807"/>
      <c r="P1807"/>
      <c r="Q1807"/>
      <c r="R1807"/>
      <c r="S1807"/>
    </row>
    <row r="1808" spans="7:19" x14ac:dyDescent="0.25">
      <c r="G1808"/>
      <c r="H1808"/>
      <c r="I1808"/>
      <c r="J1808"/>
      <c r="L1808"/>
      <c r="M1808"/>
      <c r="N1808"/>
      <c r="O1808"/>
      <c r="P1808"/>
      <c r="Q1808"/>
      <c r="R1808"/>
      <c r="S1808"/>
    </row>
    <row r="1809" spans="7:19" x14ac:dyDescent="0.25">
      <c r="G1809"/>
      <c r="H1809"/>
      <c r="I1809"/>
      <c r="J1809"/>
      <c r="L1809"/>
      <c r="M1809"/>
      <c r="N1809"/>
      <c r="O1809"/>
      <c r="P1809"/>
      <c r="Q1809"/>
      <c r="R1809"/>
      <c r="S1809"/>
    </row>
    <row r="1810" spans="7:19" x14ac:dyDescent="0.25">
      <c r="G1810"/>
      <c r="H1810"/>
      <c r="I1810"/>
      <c r="J1810"/>
      <c r="L1810"/>
      <c r="M1810"/>
      <c r="N1810"/>
      <c r="O1810"/>
      <c r="P1810"/>
      <c r="Q1810"/>
      <c r="R1810"/>
      <c r="S1810"/>
    </row>
    <row r="1811" spans="7:19" x14ac:dyDescent="0.25">
      <c r="G1811"/>
      <c r="H1811"/>
      <c r="I1811"/>
      <c r="J1811"/>
      <c r="L1811"/>
      <c r="M1811"/>
      <c r="N1811"/>
      <c r="O1811"/>
      <c r="P1811"/>
      <c r="Q1811"/>
      <c r="R1811"/>
      <c r="S1811"/>
    </row>
    <row r="1812" spans="7:19" x14ac:dyDescent="0.25">
      <c r="G1812"/>
      <c r="H1812"/>
      <c r="I1812"/>
      <c r="J1812"/>
      <c r="L1812"/>
      <c r="M1812"/>
      <c r="N1812"/>
      <c r="O1812"/>
      <c r="P1812"/>
      <c r="Q1812"/>
      <c r="R1812"/>
      <c r="S1812"/>
    </row>
    <row r="1813" spans="7:19" x14ac:dyDescent="0.25">
      <c r="G1813"/>
      <c r="H1813"/>
      <c r="I1813"/>
      <c r="J1813"/>
      <c r="L1813"/>
      <c r="M1813"/>
      <c r="N1813"/>
      <c r="O1813"/>
      <c r="P1813"/>
      <c r="Q1813"/>
      <c r="R1813"/>
      <c r="S1813"/>
    </row>
    <row r="1814" spans="7:19" x14ac:dyDescent="0.25">
      <c r="G1814"/>
      <c r="H1814"/>
      <c r="I1814"/>
      <c r="J1814"/>
      <c r="L1814"/>
      <c r="M1814"/>
      <c r="N1814"/>
      <c r="O1814"/>
      <c r="P1814"/>
      <c r="Q1814"/>
      <c r="R1814"/>
      <c r="S1814"/>
    </row>
    <row r="1815" spans="7:19" x14ac:dyDescent="0.25">
      <c r="G1815"/>
      <c r="H1815"/>
      <c r="I1815"/>
      <c r="J1815"/>
      <c r="L1815"/>
      <c r="M1815"/>
      <c r="N1815"/>
      <c r="O1815"/>
      <c r="P1815"/>
      <c r="Q1815"/>
      <c r="R1815"/>
      <c r="S1815"/>
    </row>
    <row r="1816" spans="7:19" x14ac:dyDescent="0.25">
      <c r="G1816"/>
      <c r="H1816"/>
      <c r="I1816"/>
      <c r="J1816"/>
      <c r="L1816"/>
      <c r="M1816"/>
      <c r="N1816"/>
      <c r="O1816"/>
      <c r="P1816"/>
      <c r="Q1816"/>
      <c r="R1816"/>
      <c r="S1816"/>
    </row>
    <row r="1817" spans="7:19" x14ac:dyDescent="0.25">
      <c r="G1817"/>
      <c r="H1817"/>
      <c r="I1817"/>
      <c r="J1817"/>
      <c r="L1817"/>
      <c r="M1817"/>
      <c r="N1817"/>
      <c r="O1817"/>
      <c r="P1817"/>
      <c r="Q1817"/>
      <c r="R1817"/>
      <c r="S1817"/>
    </row>
    <row r="1818" spans="7:19" x14ac:dyDescent="0.25">
      <c r="G1818"/>
      <c r="H1818"/>
      <c r="I1818"/>
      <c r="J1818"/>
      <c r="L1818"/>
      <c r="M1818"/>
      <c r="N1818"/>
      <c r="O1818"/>
      <c r="P1818"/>
      <c r="Q1818"/>
      <c r="R1818"/>
      <c r="S1818"/>
    </row>
    <row r="1819" spans="7:19" x14ac:dyDescent="0.25">
      <c r="G1819"/>
      <c r="H1819"/>
      <c r="I1819"/>
      <c r="J1819"/>
      <c r="L1819"/>
      <c r="M1819"/>
      <c r="N1819"/>
      <c r="O1819"/>
      <c r="P1819"/>
      <c r="Q1819"/>
      <c r="R1819"/>
      <c r="S1819"/>
    </row>
    <row r="1820" spans="7:19" x14ac:dyDescent="0.25">
      <c r="G1820"/>
      <c r="H1820"/>
      <c r="I1820"/>
      <c r="J1820"/>
      <c r="L1820"/>
      <c r="M1820"/>
      <c r="N1820"/>
      <c r="O1820"/>
      <c r="P1820"/>
      <c r="Q1820"/>
      <c r="R1820"/>
      <c r="S1820"/>
    </row>
    <row r="1821" spans="7:19" x14ac:dyDescent="0.25">
      <c r="G1821"/>
      <c r="H1821"/>
      <c r="I1821"/>
      <c r="J1821"/>
      <c r="L1821"/>
      <c r="M1821"/>
      <c r="N1821"/>
      <c r="O1821"/>
      <c r="P1821"/>
      <c r="Q1821"/>
      <c r="R1821"/>
      <c r="S1821"/>
    </row>
    <row r="1822" spans="7:19" x14ac:dyDescent="0.25">
      <c r="G1822"/>
      <c r="H1822"/>
      <c r="I1822"/>
      <c r="J1822"/>
      <c r="L1822"/>
      <c r="M1822"/>
      <c r="N1822"/>
      <c r="O1822"/>
      <c r="P1822"/>
      <c r="Q1822"/>
      <c r="R1822"/>
      <c r="S1822"/>
    </row>
    <row r="1823" spans="7:19" x14ac:dyDescent="0.25">
      <c r="G1823"/>
      <c r="H1823"/>
      <c r="I1823"/>
      <c r="J1823"/>
      <c r="L1823"/>
      <c r="M1823"/>
      <c r="N1823"/>
      <c r="O1823"/>
      <c r="P1823"/>
      <c r="Q1823"/>
      <c r="R1823"/>
      <c r="S1823"/>
    </row>
    <row r="1824" spans="7:19" x14ac:dyDescent="0.25">
      <c r="G1824"/>
      <c r="H1824"/>
      <c r="I1824"/>
      <c r="J1824"/>
      <c r="L1824"/>
      <c r="M1824"/>
      <c r="N1824"/>
      <c r="O1824"/>
      <c r="P1824"/>
      <c r="Q1824"/>
      <c r="R1824"/>
      <c r="S1824"/>
    </row>
    <row r="1825" spans="7:19" x14ac:dyDescent="0.25">
      <c r="G1825"/>
      <c r="H1825"/>
      <c r="I1825"/>
      <c r="J1825"/>
      <c r="L1825"/>
      <c r="M1825"/>
      <c r="N1825"/>
      <c r="O1825"/>
      <c r="P1825"/>
      <c r="Q1825"/>
      <c r="R1825"/>
      <c r="S1825"/>
    </row>
    <row r="1826" spans="7:19" x14ac:dyDescent="0.25">
      <c r="G1826"/>
      <c r="H1826"/>
      <c r="I1826"/>
      <c r="J1826"/>
      <c r="L1826"/>
      <c r="M1826"/>
      <c r="N1826"/>
      <c r="O1826"/>
      <c r="P1826"/>
      <c r="Q1826"/>
      <c r="R1826"/>
      <c r="S1826"/>
    </row>
    <row r="1827" spans="7:19" x14ac:dyDescent="0.25">
      <c r="G1827"/>
      <c r="H1827"/>
      <c r="I1827"/>
      <c r="J1827"/>
      <c r="L1827"/>
      <c r="M1827"/>
      <c r="N1827"/>
      <c r="O1827"/>
      <c r="P1827"/>
      <c r="Q1827"/>
      <c r="R1827"/>
      <c r="S1827"/>
    </row>
    <row r="1828" spans="7:19" x14ac:dyDescent="0.25">
      <c r="G1828"/>
      <c r="H1828"/>
      <c r="I1828"/>
      <c r="J1828"/>
      <c r="L1828"/>
      <c r="M1828"/>
      <c r="N1828"/>
      <c r="O1828"/>
      <c r="P1828"/>
      <c r="Q1828"/>
      <c r="R1828"/>
      <c r="S1828"/>
    </row>
    <row r="1829" spans="7:19" x14ac:dyDescent="0.25">
      <c r="G1829"/>
      <c r="H1829"/>
      <c r="I1829"/>
      <c r="J1829"/>
      <c r="L1829"/>
      <c r="M1829"/>
      <c r="N1829"/>
      <c r="O1829"/>
      <c r="P1829"/>
      <c r="Q1829"/>
      <c r="R1829"/>
      <c r="S1829"/>
    </row>
    <row r="1830" spans="7:19" x14ac:dyDescent="0.25">
      <c r="G1830"/>
      <c r="H1830"/>
      <c r="I1830"/>
      <c r="J1830"/>
      <c r="L1830"/>
      <c r="M1830"/>
      <c r="N1830"/>
      <c r="O1830"/>
      <c r="P1830"/>
      <c r="Q1830"/>
      <c r="R1830"/>
      <c r="S1830"/>
    </row>
    <row r="1831" spans="7:19" x14ac:dyDescent="0.25">
      <c r="G1831"/>
      <c r="H1831"/>
      <c r="I1831"/>
      <c r="J1831"/>
      <c r="L1831"/>
      <c r="M1831"/>
      <c r="N1831"/>
      <c r="O1831"/>
      <c r="P1831"/>
      <c r="Q1831"/>
      <c r="R1831"/>
      <c r="S1831"/>
    </row>
    <row r="1832" spans="7:19" x14ac:dyDescent="0.25">
      <c r="G1832"/>
      <c r="H1832"/>
      <c r="I1832"/>
      <c r="J1832"/>
      <c r="L1832"/>
      <c r="M1832"/>
      <c r="N1832"/>
      <c r="O1832"/>
      <c r="P1832"/>
      <c r="Q1832"/>
      <c r="R1832"/>
      <c r="S1832"/>
    </row>
    <row r="1833" spans="7:19" x14ac:dyDescent="0.25">
      <c r="G1833"/>
      <c r="H1833"/>
      <c r="I1833"/>
      <c r="J1833"/>
      <c r="L1833"/>
      <c r="M1833"/>
      <c r="N1833"/>
      <c r="O1833"/>
      <c r="P1833"/>
      <c r="Q1833"/>
      <c r="R1833"/>
      <c r="S1833"/>
    </row>
    <row r="1834" spans="7:19" x14ac:dyDescent="0.25">
      <c r="G1834"/>
      <c r="H1834"/>
      <c r="I1834"/>
      <c r="J1834"/>
      <c r="L1834"/>
      <c r="M1834"/>
      <c r="N1834"/>
      <c r="O1834"/>
      <c r="P1834"/>
      <c r="Q1834"/>
      <c r="R1834"/>
      <c r="S1834"/>
    </row>
    <row r="1835" spans="7:19" x14ac:dyDescent="0.25">
      <c r="G1835"/>
      <c r="H1835"/>
      <c r="I1835"/>
      <c r="J1835"/>
      <c r="L1835"/>
      <c r="M1835"/>
      <c r="N1835"/>
      <c r="O1835"/>
      <c r="P1835"/>
      <c r="Q1835"/>
      <c r="R1835"/>
      <c r="S1835"/>
    </row>
    <row r="1836" spans="7:19" x14ac:dyDescent="0.25">
      <c r="G1836"/>
      <c r="H1836"/>
      <c r="I1836"/>
      <c r="J1836"/>
      <c r="L1836"/>
      <c r="M1836"/>
      <c r="N1836"/>
      <c r="O1836"/>
      <c r="P1836"/>
      <c r="Q1836"/>
      <c r="R1836"/>
      <c r="S1836"/>
    </row>
    <row r="1837" spans="7:19" x14ac:dyDescent="0.25">
      <c r="G1837"/>
      <c r="H1837"/>
      <c r="I1837"/>
      <c r="J1837"/>
      <c r="L1837"/>
      <c r="M1837"/>
      <c r="N1837"/>
      <c r="O1837"/>
      <c r="P1837"/>
      <c r="Q1837"/>
      <c r="R1837"/>
      <c r="S1837"/>
    </row>
    <row r="1838" spans="7:19" x14ac:dyDescent="0.25">
      <c r="G1838"/>
      <c r="H1838"/>
      <c r="I1838"/>
      <c r="J1838"/>
      <c r="L1838"/>
      <c r="M1838"/>
      <c r="N1838"/>
      <c r="O1838"/>
      <c r="P1838"/>
      <c r="Q1838"/>
      <c r="R1838"/>
      <c r="S1838"/>
    </row>
    <row r="1839" spans="7:19" x14ac:dyDescent="0.25">
      <c r="G1839"/>
      <c r="H1839"/>
      <c r="I1839"/>
      <c r="J1839"/>
      <c r="L1839"/>
      <c r="M1839"/>
      <c r="N1839"/>
      <c r="O1839"/>
      <c r="P1839"/>
      <c r="Q1839"/>
      <c r="R1839"/>
      <c r="S1839"/>
    </row>
    <row r="1840" spans="7:19" x14ac:dyDescent="0.25">
      <c r="G1840"/>
      <c r="H1840"/>
      <c r="I1840"/>
      <c r="J1840"/>
      <c r="L1840"/>
      <c r="M1840"/>
      <c r="N1840"/>
      <c r="O1840"/>
      <c r="P1840"/>
      <c r="Q1840"/>
      <c r="R1840"/>
      <c r="S1840"/>
    </row>
    <row r="1841" spans="7:19" x14ac:dyDescent="0.25">
      <c r="G1841"/>
      <c r="H1841"/>
      <c r="I1841"/>
      <c r="J1841"/>
      <c r="L1841"/>
      <c r="M1841"/>
      <c r="N1841"/>
      <c r="O1841"/>
      <c r="P1841"/>
      <c r="Q1841"/>
      <c r="R1841"/>
      <c r="S1841"/>
    </row>
    <row r="1842" spans="7:19" x14ac:dyDescent="0.25">
      <c r="G1842"/>
      <c r="H1842"/>
      <c r="I1842"/>
      <c r="J1842"/>
      <c r="L1842"/>
      <c r="M1842"/>
      <c r="N1842"/>
      <c r="O1842"/>
      <c r="P1842"/>
      <c r="Q1842"/>
      <c r="R1842"/>
      <c r="S1842"/>
    </row>
    <row r="1843" spans="7:19" x14ac:dyDescent="0.25">
      <c r="G1843"/>
      <c r="H1843"/>
      <c r="I1843"/>
      <c r="J1843"/>
      <c r="L1843"/>
      <c r="M1843"/>
      <c r="N1843"/>
      <c r="O1843"/>
      <c r="P1843"/>
      <c r="Q1843"/>
      <c r="R1843"/>
      <c r="S1843"/>
    </row>
    <row r="1844" spans="7:19" x14ac:dyDescent="0.25">
      <c r="G1844"/>
      <c r="H1844"/>
      <c r="I1844"/>
      <c r="J1844"/>
      <c r="L1844"/>
      <c r="M1844"/>
      <c r="N1844"/>
      <c r="O1844"/>
      <c r="P1844"/>
      <c r="Q1844"/>
      <c r="R1844"/>
      <c r="S1844"/>
    </row>
    <row r="1845" spans="7:19" x14ac:dyDescent="0.25">
      <c r="G1845"/>
      <c r="H1845"/>
      <c r="I1845"/>
      <c r="J1845"/>
      <c r="L1845"/>
      <c r="M1845"/>
      <c r="N1845"/>
      <c r="O1845"/>
      <c r="P1845"/>
      <c r="Q1845"/>
      <c r="R1845"/>
      <c r="S1845"/>
    </row>
    <row r="1846" spans="7:19" x14ac:dyDescent="0.25">
      <c r="G1846"/>
      <c r="H1846"/>
      <c r="I1846"/>
      <c r="J1846"/>
      <c r="L1846"/>
      <c r="M1846"/>
      <c r="N1846"/>
      <c r="O1846"/>
      <c r="P1846"/>
      <c r="Q1846"/>
      <c r="R1846"/>
      <c r="S1846"/>
    </row>
    <row r="1847" spans="7:19" x14ac:dyDescent="0.25">
      <c r="G1847"/>
      <c r="H1847"/>
      <c r="I1847"/>
      <c r="J1847"/>
      <c r="L1847"/>
      <c r="M1847"/>
      <c r="N1847"/>
      <c r="O1847"/>
      <c r="P1847"/>
      <c r="Q1847"/>
      <c r="R1847"/>
      <c r="S1847"/>
    </row>
    <row r="1848" spans="7:19" x14ac:dyDescent="0.25">
      <c r="G1848"/>
      <c r="H1848"/>
      <c r="I1848"/>
      <c r="J1848"/>
      <c r="L1848"/>
      <c r="M1848"/>
      <c r="N1848"/>
      <c r="O1848"/>
      <c r="P1848"/>
      <c r="Q1848"/>
      <c r="R1848"/>
      <c r="S1848"/>
    </row>
    <row r="1849" spans="7:19" x14ac:dyDescent="0.25">
      <c r="G1849"/>
      <c r="H1849"/>
      <c r="I1849"/>
      <c r="J1849"/>
      <c r="L1849"/>
      <c r="M1849"/>
      <c r="N1849"/>
      <c r="O1849"/>
      <c r="P1849"/>
      <c r="Q1849"/>
      <c r="R1849"/>
      <c r="S1849"/>
    </row>
    <row r="1850" spans="7:19" x14ac:dyDescent="0.25">
      <c r="G1850"/>
      <c r="H1850"/>
      <c r="I1850"/>
      <c r="J1850"/>
      <c r="L1850"/>
      <c r="M1850"/>
      <c r="N1850"/>
      <c r="O1850"/>
      <c r="P1850"/>
      <c r="Q1850"/>
      <c r="R1850"/>
      <c r="S1850"/>
    </row>
    <row r="1851" spans="7:19" x14ac:dyDescent="0.25">
      <c r="G1851"/>
      <c r="H1851"/>
      <c r="I1851"/>
      <c r="J1851"/>
      <c r="L1851"/>
      <c r="M1851"/>
      <c r="N1851"/>
      <c r="O1851"/>
      <c r="P1851"/>
      <c r="Q1851"/>
      <c r="R1851"/>
      <c r="S1851"/>
    </row>
    <row r="1852" spans="7:19" x14ac:dyDescent="0.25">
      <c r="G1852"/>
      <c r="H1852"/>
      <c r="I1852"/>
      <c r="J1852"/>
      <c r="L1852"/>
      <c r="M1852"/>
      <c r="N1852"/>
      <c r="O1852"/>
      <c r="P1852"/>
      <c r="Q1852"/>
      <c r="R1852"/>
      <c r="S1852"/>
    </row>
    <row r="1853" spans="7:19" x14ac:dyDescent="0.25">
      <c r="G1853"/>
      <c r="H1853"/>
      <c r="I1853"/>
      <c r="J1853"/>
      <c r="L1853"/>
      <c r="M1853"/>
      <c r="N1853"/>
      <c r="O1853"/>
      <c r="P1853"/>
      <c r="Q1853"/>
      <c r="R1853"/>
      <c r="S1853"/>
    </row>
    <row r="1854" spans="7:19" x14ac:dyDescent="0.25">
      <c r="G1854"/>
      <c r="H1854"/>
      <c r="I1854"/>
      <c r="J1854"/>
      <c r="L1854"/>
      <c r="M1854"/>
      <c r="N1854"/>
      <c r="O1854"/>
      <c r="P1854"/>
      <c r="Q1854"/>
      <c r="R1854"/>
      <c r="S1854"/>
    </row>
    <row r="1855" spans="7:19" x14ac:dyDescent="0.25">
      <c r="G1855"/>
      <c r="H1855"/>
      <c r="I1855"/>
      <c r="J1855"/>
      <c r="L1855"/>
      <c r="M1855"/>
      <c r="N1855"/>
      <c r="O1855"/>
      <c r="P1855"/>
      <c r="Q1855"/>
      <c r="R1855"/>
      <c r="S1855"/>
    </row>
    <row r="1856" spans="7:19" x14ac:dyDescent="0.25">
      <c r="G1856"/>
      <c r="H1856"/>
      <c r="I1856"/>
      <c r="J1856"/>
      <c r="L1856"/>
      <c r="M1856"/>
      <c r="N1856"/>
      <c r="O1856"/>
      <c r="P1856"/>
      <c r="Q1856"/>
      <c r="R1856"/>
      <c r="S1856"/>
    </row>
    <row r="1857" spans="7:19" x14ac:dyDescent="0.25">
      <c r="G1857"/>
      <c r="H1857"/>
      <c r="I1857"/>
      <c r="J1857"/>
      <c r="L1857"/>
      <c r="M1857"/>
      <c r="N1857"/>
      <c r="O1857"/>
      <c r="P1857"/>
      <c r="Q1857"/>
      <c r="R1857"/>
      <c r="S1857"/>
    </row>
    <row r="1858" spans="7:19" x14ac:dyDescent="0.25">
      <c r="G1858"/>
      <c r="H1858"/>
      <c r="I1858"/>
      <c r="J1858"/>
      <c r="L1858"/>
      <c r="M1858"/>
      <c r="N1858"/>
      <c r="O1858"/>
      <c r="P1858"/>
      <c r="Q1858"/>
      <c r="R1858"/>
      <c r="S1858"/>
    </row>
    <row r="1859" spans="7:19" x14ac:dyDescent="0.25">
      <c r="G1859"/>
      <c r="H1859"/>
      <c r="I1859"/>
      <c r="J1859"/>
      <c r="L1859"/>
      <c r="M1859"/>
      <c r="N1859"/>
      <c r="O1859"/>
      <c r="P1859"/>
      <c r="Q1859"/>
      <c r="R1859"/>
      <c r="S1859"/>
    </row>
    <row r="1860" spans="7:19" x14ac:dyDescent="0.25">
      <c r="G1860"/>
      <c r="H1860"/>
      <c r="I1860"/>
      <c r="J1860"/>
      <c r="L1860"/>
      <c r="M1860"/>
      <c r="N1860"/>
      <c r="O1860"/>
      <c r="P1860"/>
      <c r="Q1860"/>
      <c r="R1860"/>
      <c r="S1860"/>
    </row>
    <row r="1861" spans="7:19" x14ac:dyDescent="0.25">
      <c r="G1861"/>
      <c r="H1861"/>
      <c r="I1861"/>
      <c r="J1861"/>
      <c r="L1861"/>
      <c r="M1861"/>
      <c r="N1861"/>
      <c r="O1861"/>
      <c r="P1861"/>
      <c r="Q1861"/>
      <c r="R1861"/>
      <c r="S1861"/>
    </row>
    <row r="1862" spans="7:19" x14ac:dyDescent="0.25">
      <c r="G1862"/>
      <c r="H1862"/>
      <c r="I1862"/>
      <c r="J1862"/>
      <c r="L1862"/>
      <c r="M1862"/>
      <c r="N1862"/>
      <c r="O1862"/>
      <c r="P1862"/>
      <c r="Q1862"/>
      <c r="R1862"/>
      <c r="S1862"/>
    </row>
    <row r="1863" spans="7:19" x14ac:dyDescent="0.25">
      <c r="G1863"/>
      <c r="H1863"/>
      <c r="I1863"/>
      <c r="J1863"/>
      <c r="L1863"/>
      <c r="M1863"/>
      <c r="N1863"/>
      <c r="O1863"/>
      <c r="P1863"/>
      <c r="Q1863"/>
      <c r="R1863"/>
      <c r="S1863"/>
    </row>
    <row r="1864" spans="7:19" x14ac:dyDescent="0.25">
      <c r="G1864"/>
      <c r="H1864"/>
      <c r="I1864"/>
      <c r="J1864"/>
      <c r="L1864"/>
      <c r="M1864"/>
      <c r="N1864"/>
      <c r="O1864"/>
      <c r="P1864"/>
      <c r="Q1864"/>
      <c r="R1864"/>
      <c r="S1864"/>
    </row>
    <row r="1865" spans="7:19" x14ac:dyDescent="0.25">
      <c r="G1865"/>
      <c r="H1865"/>
      <c r="I1865"/>
      <c r="J1865"/>
      <c r="L1865"/>
      <c r="M1865"/>
      <c r="N1865"/>
      <c r="O1865"/>
      <c r="P1865"/>
      <c r="Q1865"/>
      <c r="R1865"/>
      <c r="S1865"/>
    </row>
    <row r="1866" spans="7:19" x14ac:dyDescent="0.25">
      <c r="G1866"/>
      <c r="H1866"/>
      <c r="I1866"/>
      <c r="J1866"/>
      <c r="L1866"/>
      <c r="M1866"/>
      <c r="N1866"/>
      <c r="O1866"/>
      <c r="P1866"/>
      <c r="Q1866"/>
      <c r="R1866"/>
      <c r="S1866"/>
    </row>
    <row r="1867" spans="7:19" x14ac:dyDescent="0.25">
      <c r="G1867"/>
      <c r="H1867"/>
      <c r="I1867"/>
      <c r="J1867"/>
      <c r="L1867"/>
      <c r="M1867"/>
      <c r="N1867"/>
      <c r="O1867"/>
      <c r="P1867"/>
      <c r="Q1867"/>
      <c r="R1867"/>
      <c r="S1867"/>
    </row>
    <row r="1868" spans="7:19" x14ac:dyDescent="0.25">
      <c r="G1868"/>
      <c r="H1868"/>
      <c r="I1868"/>
      <c r="J1868"/>
      <c r="L1868"/>
      <c r="M1868"/>
      <c r="N1868"/>
      <c r="O1868"/>
      <c r="P1868"/>
      <c r="Q1868"/>
      <c r="R1868"/>
      <c r="S1868"/>
    </row>
    <row r="1869" spans="7:19" x14ac:dyDescent="0.25">
      <c r="G1869"/>
      <c r="H1869"/>
      <c r="I1869"/>
      <c r="J1869"/>
      <c r="L1869"/>
      <c r="M1869"/>
      <c r="N1869"/>
      <c r="O1869"/>
      <c r="P1869"/>
      <c r="Q1869"/>
      <c r="R1869"/>
      <c r="S1869"/>
    </row>
    <row r="1870" spans="7:19" x14ac:dyDescent="0.25">
      <c r="G1870"/>
      <c r="H1870"/>
      <c r="I1870"/>
      <c r="J1870"/>
      <c r="L1870"/>
      <c r="M1870"/>
      <c r="N1870"/>
      <c r="O1870"/>
      <c r="P1870"/>
      <c r="Q1870"/>
      <c r="R1870"/>
      <c r="S1870"/>
    </row>
    <row r="1871" spans="7:19" x14ac:dyDescent="0.25">
      <c r="G1871"/>
      <c r="H1871"/>
      <c r="I1871"/>
      <c r="J1871"/>
      <c r="L1871"/>
      <c r="M1871"/>
      <c r="N1871"/>
      <c r="O1871"/>
      <c r="P1871"/>
      <c r="Q1871"/>
      <c r="R1871"/>
      <c r="S1871"/>
    </row>
    <row r="1872" spans="7:19" x14ac:dyDescent="0.25">
      <c r="G1872"/>
      <c r="H1872"/>
      <c r="I1872"/>
      <c r="J1872"/>
      <c r="L1872"/>
      <c r="M1872"/>
      <c r="N1872"/>
      <c r="O1872"/>
      <c r="P1872"/>
      <c r="Q1872"/>
      <c r="R1872"/>
      <c r="S1872"/>
    </row>
    <row r="1873" spans="7:19" x14ac:dyDescent="0.25">
      <c r="G1873"/>
      <c r="H1873"/>
      <c r="I1873"/>
      <c r="J1873"/>
      <c r="L1873"/>
      <c r="M1873"/>
      <c r="N1873"/>
      <c r="O1873"/>
      <c r="P1873"/>
      <c r="Q1873"/>
      <c r="R1873"/>
      <c r="S1873"/>
    </row>
    <row r="1874" spans="7:19" x14ac:dyDescent="0.25">
      <c r="G1874"/>
      <c r="H1874"/>
      <c r="I1874"/>
      <c r="J1874"/>
      <c r="L1874"/>
      <c r="M1874"/>
      <c r="N1874"/>
      <c r="O1874"/>
      <c r="P1874"/>
      <c r="Q1874"/>
      <c r="R1874"/>
      <c r="S1874"/>
    </row>
    <row r="1875" spans="7:19" x14ac:dyDescent="0.25">
      <c r="G1875"/>
      <c r="H1875"/>
      <c r="I1875"/>
      <c r="J1875"/>
      <c r="L1875"/>
      <c r="M1875"/>
      <c r="N1875"/>
      <c r="O1875"/>
      <c r="P1875"/>
      <c r="Q1875"/>
      <c r="R1875"/>
      <c r="S1875"/>
    </row>
    <row r="1876" spans="7:19" x14ac:dyDescent="0.25">
      <c r="G1876"/>
      <c r="H1876"/>
      <c r="I1876"/>
      <c r="J1876"/>
      <c r="L1876"/>
      <c r="M1876"/>
      <c r="N1876"/>
      <c r="O1876"/>
      <c r="P1876"/>
      <c r="Q1876"/>
      <c r="R1876"/>
      <c r="S1876"/>
    </row>
    <row r="1877" spans="7:19" x14ac:dyDescent="0.25">
      <c r="G1877"/>
      <c r="H1877"/>
      <c r="I1877"/>
      <c r="J1877"/>
      <c r="L1877"/>
      <c r="M1877"/>
      <c r="N1877"/>
      <c r="O1877"/>
      <c r="P1877"/>
      <c r="Q1877"/>
      <c r="R1877"/>
      <c r="S1877"/>
    </row>
    <row r="1878" spans="7:19" x14ac:dyDescent="0.25">
      <c r="G1878"/>
      <c r="H1878"/>
      <c r="I1878"/>
      <c r="J1878"/>
      <c r="L1878"/>
      <c r="M1878"/>
      <c r="N1878"/>
      <c r="O1878"/>
      <c r="P1878"/>
      <c r="Q1878"/>
      <c r="R1878"/>
      <c r="S1878"/>
    </row>
    <row r="1879" spans="7:19" x14ac:dyDescent="0.25">
      <c r="G1879"/>
      <c r="H1879"/>
      <c r="I1879"/>
      <c r="J1879"/>
      <c r="L1879"/>
      <c r="M1879"/>
      <c r="N1879"/>
      <c r="O1879"/>
      <c r="P1879"/>
      <c r="Q1879"/>
      <c r="R1879"/>
      <c r="S1879"/>
    </row>
    <row r="1880" spans="7:19" x14ac:dyDescent="0.25">
      <c r="G1880"/>
      <c r="H1880"/>
      <c r="I1880"/>
      <c r="J1880"/>
      <c r="L1880"/>
      <c r="M1880"/>
      <c r="N1880"/>
      <c r="O1880"/>
      <c r="P1880"/>
      <c r="Q1880"/>
      <c r="R1880"/>
      <c r="S1880"/>
    </row>
    <row r="1881" spans="7:19" x14ac:dyDescent="0.25">
      <c r="G1881"/>
      <c r="H1881"/>
      <c r="I1881"/>
      <c r="J1881"/>
      <c r="L1881"/>
      <c r="M1881"/>
      <c r="N1881"/>
      <c r="O1881"/>
      <c r="P1881"/>
      <c r="Q1881"/>
      <c r="R1881"/>
      <c r="S1881"/>
    </row>
    <row r="1882" spans="7:19" x14ac:dyDescent="0.25">
      <c r="G1882"/>
      <c r="H1882"/>
      <c r="I1882"/>
      <c r="J1882"/>
      <c r="L1882"/>
      <c r="M1882"/>
      <c r="N1882"/>
      <c r="O1882"/>
      <c r="P1882"/>
      <c r="Q1882"/>
      <c r="R1882"/>
      <c r="S1882"/>
    </row>
    <row r="1883" spans="7:19" x14ac:dyDescent="0.25">
      <c r="G1883"/>
      <c r="H1883"/>
      <c r="I1883"/>
      <c r="J1883"/>
      <c r="L1883"/>
      <c r="M1883"/>
      <c r="N1883"/>
      <c r="O1883"/>
      <c r="P1883"/>
      <c r="Q1883"/>
      <c r="R1883"/>
      <c r="S1883"/>
    </row>
    <row r="1884" spans="7:19" x14ac:dyDescent="0.25">
      <c r="G1884"/>
      <c r="H1884"/>
      <c r="I1884"/>
      <c r="J1884"/>
      <c r="L1884"/>
      <c r="M1884"/>
      <c r="N1884"/>
      <c r="O1884"/>
      <c r="P1884"/>
      <c r="Q1884"/>
      <c r="R1884"/>
      <c r="S1884"/>
    </row>
    <row r="1885" spans="7:19" x14ac:dyDescent="0.25">
      <c r="G1885"/>
      <c r="H1885"/>
      <c r="I1885"/>
      <c r="J1885"/>
      <c r="L1885"/>
      <c r="M1885"/>
      <c r="N1885"/>
      <c r="O1885"/>
      <c r="P1885"/>
      <c r="Q1885"/>
      <c r="R1885"/>
      <c r="S1885"/>
    </row>
    <row r="1886" spans="7:19" x14ac:dyDescent="0.25">
      <c r="G1886"/>
      <c r="H1886"/>
      <c r="I1886"/>
      <c r="J1886"/>
      <c r="L1886"/>
      <c r="M1886"/>
      <c r="N1886"/>
      <c r="O1886"/>
      <c r="P1886"/>
      <c r="Q1886"/>
      <c r="R1886"/>
      <c r="S1886"/>
    </row>
    <row r="1887" spans="7:19" x14ac:dyDescent="0.25">
      <c r="G1887"/>
      <c r="H1887"/>
      <c r="I1887"/>
      <c r="J1887"/>
      <c r="L1887"/>
      <c r="M1887"/>
      <c r="N1887"/>
      <c r="O1887"/>
      <c r="P1887"/>
      <c r="Q1887"/>
      <c r="R1887"/>
      <c r="S1887"/>
    </row>
    <row r="1888" spans="7:19" x14ac:dyDescent="0.25">
      <c r="G1888"/>
      <c r="H1888"/>
      <c r="I1888"/>
      <c r="J1888"/>
      <c r="L1888"/>
      <c r="M1888"/>
      <c r="N1888"/>
      <c r="O1888"/>
      <c r="P1888"/>
      <c r="Q1888"/>
      <c r="R1888"/>
      <c r="S1888"/>
    </row>
    <row r="1889" spans="7:19" x14ac:dyDescent="0.25">
      <c r="G1889"/>
      <c r="H1889"/>
      <c r="I1889"/>
      <c r="J1889"/>
      <c r="L1889"/>
      <c r="M1889"/>
      <c r="N1889"/>
      <c r="O1889"/>
      <c r="P1889"/>
      <c r="Q1889"/>
      <c r="R1889"/>
      <c r="S1889"/>
    </row>
    <row r="1890" spans="7:19" x14ac:dyDescent="0.25">
      <c r="G1890"/>
      <c r="H1890"/>
      <c r="I1890"/>
      <c r="J1890"/>
      <c r="L1890"/>
      <c r="M1890"/>
      <c r="N1890"/>
      <c r="O1890"/>
      <c r="P1890"/>
      <c r="Q1890"/>
      <c r="R1890"/>
      <c r="S1890"/>
    </row>
    <row r="1891" spans="7:19" x14ac:dyDescent="0.25">
      <c r="G1891"/>
      <c r="H1891"/>
      <c r="I1891"/>
      <c r="J1891"/>
      <c r="L1891"/>
      <c r="M1891"/>
      <c r="N1891"/>
      <c r="O1891"/>
      <c r="P1891"/>
      <c r="Q1891"/>
      <c r="R1891"/>
      <c r="S1891"/>
    </row>
    <row r="1892" spans="7:19" x14ac:dyDescent="0.25">
      <c r="G1892"/>
      <c r="H1892"/>
      <c r="I1892"/>
      <c r="J1892"/>
      <c r="L1892"/>
      <c r="M1892"/>
      <c r="N1892"/>
      <c r="O1892"/>
      <c r="P1892"/>
      <c r="Q1892"/>
      <c r="R1892"/>
      <c r="S1892"/>
    </row>
    <row r="1893" spans="7:19" x14ac:dyDescent="0.25">
      <c r="G1893"/>
      <c r="H1893"/>
      <c r="I1893"/>
      <c r="J1893"/>
      <c r="L1893"/>
      <c r="M1893"/>
      <c r="N1893"/>
      <c r="O1893"/>
      <c r="P1893"/>
      <c r="Q1893"/>
      <c r="R1893"/>
      <c r="S1893"/>
    </row>
    <row r="1894" spans="7:19" x14ac:dyDescent="0.25">
      <c r="G1894"/>
      <c r="H1894"/>
      <c r="I1894"/>
      <c r="J1894"/>
      <c r="L1894"/>
      <c r="M1894"/>
      <c r="N1894"/>
      <c r="O1894"/>
      <c r="P1894"/>
      <c r="Q1894"/>
      <c r="R1894"/>
      <c r="S1894"/>
    </row>
    <row r="1895" spans="7:19" x14ac:dyDescent="0.25">
      <c r="G1895"/>
      <c r="H1895"/>
      <c r="I1895"/>
      <c r="J1895"/>
      <c r="L1895"/>
      <c r="M1895"/>
      <c r="N1895"/>
      <c r="O1895"/>
      <c r="P1895"/>
      <c r="Q1895"/>
      <c r="R1895"/>
      <c r="S1895"/>
    </row>
    <row r="1896" spans="7:19" x14ac:dyDescent="0.25">
      <c r="G1896"/>
      <c r="H1896"/>
      <c r="I1896"/>
      <c r="J1896"/>
      <c r="L1896"/>
      <c r="M1896"/>
      <c r="N1896"/>
      <c r="O1896"/>
      <c r="P1896"/>
      <c r="Q1896"/>
      <c r="R1896"/>
      <c r="S1896"/>
    </row>
    <row r="1897" spans="7:19" x14ac:dyDescent="0.25">
      <c r="G1897"/>
      <c r="H1897"/>
      <c r="I1897"/>
      <c r="J1897"/>
      <c r="L1897"/>
      <c r="M1897"/>
      <c r="N1897"/>
      <c r="O1897"/>
      <c r="P1897"/>
      <c r="Q1897"/>
      <c r="R1897"/>
      <c r="S1897"/>
    </row>
    <row r="1898" spans="7:19" x14ac:dyDescent="0.25">
      <c r="G1898"/>
      <c r="H1898"/>
      <c r="I1898"/>
      <c r="J1898"/>
      <c r="L1898"/>
      <c r="M1898"/>
      <c r="N1898"/>
      <c r="O1898"/>
      <c r="P1898"/>
      <c r="Q1898"/>
      <c r="R1898"/>
      <c r="S1898"/>
    </row>
    <row r="1899" spans="7:19" x14ac:dyDescent="0.25">
      <c r="G1899"/>
      <c r="H1899"/>
      <c r="I1899"/>
      <c r="J1899"/>
      <c r="L1899"/>
      <c r="M1899"/>
      <c r="N1899"/>
      <c r="O1899"/>
      <c r="P1899"/>
      <c r="Q1899"/>
      <c r="R1899"/>
      <c r="S1899"/>
    </row>
    <row r="1900" spans="7:19" x14ac:dyDescent="0.25">
      <c r="G1900"/>
      <c r="H1900"/>
      <c r="I1900"/>
      <c r="J1900"/>
      <c r="L1900"/>
      <c r="M1900"/>
      <c r="N1900"/>
      <c r="O1900"/>
      <c r="P1900"/>
      <c r="Q1900"/>
      <c r="R1900"/>
      <c r="S1900"/>
    </row>
    <row r="1901" spans="7:19" x14ac:dyDescent="0.25">
      <c r="G1901"/>
      <c r="H1901"/>
      <c r="I1901"/>
      <c r="J1901"/>
      <c r="L1901"/>
      <c r="M1901"/>
      <c r="N1901"/>
      <c r="O1901"/>
      <c r="P1901"/>
      <c r="Q1901"/>
      <c r="R1901"/>
      <c r="S1901"/>
    </row>
    <row r="1902" spans="7:19" x14ac:dyDescent="0.25">
      <c r="G1902"/>
      <c r="H1902"/>
      <c r="I1902"/>
      <c r="J1902"/>
      <c r="L1902"/>
      <c r="M1902"/>
      <c r="N1902"/>
      <c r="O1902"/>
      <c r="P1902"/>
      <c r="Q1902"/>
      <c r="R1902"/>
      <c r="S1902"/>
    </row>
    <row r="1903" spans="7:19" x14ac:dyDescent="0.25">
      <c r="G1903"/>
      <c r="H1903"/>
      <c r="I1903"/>
      <c r="J1903"/>
      <c r="L1903"/>
      <c r="M1903"/>
      <c r="N1903"/>
      <c r="O1903"/>
      <c r="P1903"/>
      <c r="Q1903"/>
      <c r="R1903"/>
      <c r="S1903"/>
    </row>
    <row r="1904" spans="7:19" x14ac:dyDescent="0.25">
      <c r="G1904"/>
      <c r="H1904"/>
      <c r="I1904"/>
      <c r="J1904"/>
      <c r="L1904"/>
      <c r="M1904"/>
      <c r="N1904"/>
      <c r="O1904"/>
      <c r="P1904"/>
      <c r="Q1904"/>
      <c r="R1904"/>
      <c r="S1904"/>
    </row>
    <row r="1905" spans="7:19" x14ac:dyDescent="0.25">
      <c r="G1905"/>
      <c r="H1905"/>
      <c r="I1905"/>
      <c r="J1905"/>
      <c r="L1905"/>
      <c r="M1905"/>
      <c r="N1905"/>
      <c r="O1905"/>
      <c r="P1905"/>
      <c r="Q1905"/>
      <c r="R1905"/>
      <c r="S1905"/>
    </row>
    <row r="1906" spans="7:19" x14ac:dyDescent="0.25">
      <c r="G1906"/>
      <c r="H1906"/>
      <c r="I1906"/>
      <c r="J1906"/>
      <c r="L1906"/>
      <c r="M1906"/>
      <c r="N1906"/>
      <c r="O1906"/>
      <c r="P1906"/>
      <c r="Q1906"/>
      <c r="R1906"/>
      <c r="S1906"/>
    </row>
    <row r="1907" spans="7:19" x14ac:dyDescent="0.25">
      <c r="G1907"/>
      <c r="H1907"/>
      <c r="I1907"/>
      <c r="J1907"/>
      <c r="L1907"/>
      <c r="M1907"/>
      <c r="N1907"/>
      <c r="O1907"/>
      <c r="P1907"/>
      <c r="Q1907"/>
      <c r="R1907"/>
      <c r="S1907"/>
    </row>
    <row r="1908" spans="7:19" x14ac:dyDescent="0.25">
      <c r="G1908"/>
      <c r="H1908"/>
      <c r="I1908"/>
      <c r="J1908"/>
      <c r="L1908"/>
      <c r="M1908"/>
      <c r="N1908"/>
      <c r="O1908"/>
      <c r="P1908"/>
      <c r="Q1908"/>
      <c r="R1908"/>
      <c r="S1908"/>
    </row>
    <row r="1909" spans="7:19" x14ac:dyDescent="0.25">
      <c r="G1909"/>
      <c r="H1909"/>
      <c r="I1909"/>
      <c r="J1909"/>
      <c r="L1909"/>
      <c r="M1909"/>
      <c r="N1909"/>
      <c r="O1909"/>
      <c r="P1909"/>
      <c r="Q1909"/>
      <c r="R1909"/>
      <c r="S1909"/>
    </row>
    <row r="1910" spans="7:19" x14ac:dyDescent="0.25">
      <c r="G1910"/>
      <c r="H1910"/>
      <c r="I1910"/>
      <c r="J1910"/>
      <c r="L1910"/>
      <c r="M1910"/>
      <c r="N1910"/>
      <c r="O1910"/>
      <c r="P1910"/>
      <c r="Q1910"/>
      <c r="R1910"/>
      <c r="S1910"/>
    </row>
    <row r="1911" spans="7:19" x14ac:dyDescent="0.25">
      <c r="G1911"/>
      <c r="H1911"/>
      <c r="I1911"/>
      <c r="J1911"/>
      <c r="L1911"/>
      <c r="M1911"/>
      <c r="N1911"/>
      <c r="O1911"/>
      <c r="P1911"/>
      <c r="Q1911"/>
      <c r="R1911"/>
      <c r="S1911"/>
    </row>
    <row r="1912" spans="7:19" x14ac:dyDescent="0.25">
      <c r="G1912"/>
      <c r="H1912"/>
      <c r="I1912"/>
      <c r="J1912"/>
      <c r="L1912"/>
      <c r="M1912"/>
      <c r="N1912"/>
      <c r="O1912"/>
      <c r="P1912"/>
      <c r="Q1912"/>
      <c r="R1912"/>
      <c r="S1912"/>
    </row>
    <row r="1913" spans="7:19" x14ac:dyDescent="0.25">
      <c r="G1913"/>
      <c r="H1913"/>
      <c r="I1913"/>
      <c r="J1913"/>
      <c r="L1913"/>
      <c r="M1913"/>
      <c r="N1913"/>
      <c r="O1913"/>
      <c r="P1913"/>
      <c r="Q1913"/>
      <c r="R1913"/>
      <c r="S1913"/>
    </row>
    <row r="1914" spans="7:19" x14ac:dyDescent="0.25">
      <c r="G1914"/>
      <c r="H1914"/>
      <c r="I1914"/>
      <c r="J1914"/>
      <c r="L1914"/>
      <c r="M1914"/>
      <c r="N1914"/>
      <c r="O1914"/>
      <c r="P1914"/>
      <c r="Q1914"/>
      <c r="R1914"/>
      <c r="S1914"/>
    </row>
    <row r="1915" spans="7:19" x14ac:dyDescent="0.25">
      <c r="G1915"/>
      <c r="H1915"/>
      <c r="I1915"/>
      <c r="J1915"/>
      <c r="L1915"/>
      <c r="M1915"/>
      <c r="N1915"/>
      <c r="O1915"/>
      <c r="P1915"/>
      <c r="Q1915"/>
      <c r="R1915"/>
      <c r="S1915"/>
    </row>
    <row r="1916" spans="7:19" x14ac:dyDescent="0.25">
      <c r="G1916"/>
      <c r="H1916"/>
      <c r="I1916"/>
      <c r="J1916"/>
      <c r="L1916"/>
      <c r="M1916"/>
      <c r="N1916"/>
      <c r="O1916"/>
      <c r="P1916"/>
      <c r="Q1916"/>
      <c r="R1916"/>
      <c r="S1916"/>
    </row>
    <row r="1917" spans="7:19" x14ac:dyDescent="0.25">
      <c r="G1917"/>
      <c r="H1917"/>
      <c r="I1917"/>
      <c r="J1917"/>
      <c r="L1917"/>
      <c r="M1917"/>
      <c r="N1917"/>
      <c r="O1917"/>
      <c r="P1917"/>
      <c r="Q1917"/>
      <c r="R1917"/>
      <c r="S1917"/>
    </row>
    <row r="1918" spans="7:19" x14ac:dyDescent="0.25">
      <c r="G1918"/>
      <c r="H1918"/>
      <c r="I1918"/>
      <c r="J1918"/>
      <c r="L1918"/>
      <c r="M1918"/>
      <c r="N1918"/>
      <c r="O1918"/>
      <c r="P1918"/>
      <c r="Q1918"/>
      <c r="R1918"/>
      <c r="S1918"/>
    </row>
    <row r="1919" spans="7:19" x14ac:dyDescent="0.25">
      <c r="G1919"/>
      <c r="H1919"/>
      <c r="I1919"/>
      <c r="J1919"/>
      <c r="L1919"/>
      <c r="M1919"/>
      <c r="N1919"/>
      <c r="O1919"/>
      <c r="P1919"/>
      <c r="Q1919"/>
      <c r="R1919"/>
      <c r="S1919"/>
    </row>
    <row r="1920" spans="7:19" x14ac:dyDescent="0.25">
      <c r="G1920"/>
      <c r="H1920"/>
      <c r="I1920"/>
      <c r="J1920"/>
      <c r="L1920"/>
      <c r="M1920"/>
      <c r="N1920"/>
      <c r="O1920"/>
      <c r="P1920"/>
      <c r="Q1920"/>
      <c r="R1920"/>
      <c r="S1920"/>
    </row>
    <row r="1921" spans="7:19" x14ac:dyDescent="0.25">
      <c r="G1921"/>
      <c r="H1921"/>
      <c r="I1921"/>
      <c r="J1921"/>
      <c r="L1921"/>
      <c r="M1921"/>
      <c r="N1921"/>
      <c r="O1921"/>
      <c r="P1921"/>
      <c r="Q1921"/>
      <c r="R1921"/>
      <c r="S1921"/>
    </row>
    <row r="1922" spans="7:19" x14ac:dyDescent="0.25">
      <c r="G1922"/>
      <c r="H1922"/>
      <c r="I1922"/>
      <c r="J1922"/>
      <c r="L1922"/>
      <c r="M1922"/>
      <c r="N1922"/>
      <c r="O1922"/>
      <c r="P1922"/>
      <c r="Q1922"/>
      <c r="R1922"/>
      <c r="S1922"/>
    </row>
    <row r="1923" spans="7:19" x14ac:dyDescent="0.25">
      <c r="G1923"/>
      <c r="H1923"/>
      <c r="I1923"/>
      <c r="J1923"/>
      <c r="L1923"/>
      <c r="M1923"/>
      <c r="N1923"/>
      <c r="O1923"/>
      <c r="P1923"/>
      <c r="Q1923"/>
      <c r="R1923"/>
      <c r="S1923"/>
    </row>
    <row r="1924" spans="7:19" x14ac:dyDescent="0.25">
      <c r="G1924"/>
      <c r="H1924"/>
      <c r="I1924"/>
      <c r="J1924"/>
      <c r="L1924"/>
      <c r="M1924"/>
      <c r="N1924"/>
      <c r="O1924"/>
      <c r="P1924"/>
      <c r="Q1924"/>
      <c r="R1924"/>
      <c r="S1924"/>
    </row>
    <row r="1925" spans="7:19" x14ac:dyDescent="0.25">
      <c r="G1925"/>
      <c r="H1925"/>
      <c r="I1925"/>
      <c r="J1925"/>
      <c r="L1925"/>
      <c r="M1925"/>
      <c r="N1925"/>
      <c r="O1925"/>
      <c r="P1925"/>
      <c r="Q1925"/>
      <c r="R1925"/>
      <c r="S1925"/>
    </row>
    <row r="1926" spans="7:19" x14ac:dyDescent="0.25">
      <c r="G1926"/>
      <c r="H1926"/>
      <c r="I1926"/>
      <c r="J1926"/>
      <c r="L1926"/>
      <c r="M1926"/>
      <c r="N1926"/>
      <c r="O1926"/>
      <c r="P1926"/>
      <c r="Q1926"/>
      <c r="R1926"/>
      <c r="S1926"/>
    </row>
    <row r="1927" spans="7:19" x14ac:dyDescent="0.25">
      <c r="G1927"/>
      <c r="H1927"/>
      <c r="I1927"/>
      <c r="J1927"/>
      <c r="L1927"/>
      <c r="M1927"/>
      <c r="N1927"/>
      <c r="O1927"/>
      <c r="P1927"/>
      <c r="Q1927"/>
      <c r="R1927"/>
      <c r="S1927"/>
    </row>
    <row r="1928" spans="7:19" x14ac:dyDescent="0.25">
      <c r="G1928"/>
      <c r="H1928"/>
      <c r="I1928"/>
      <c r="J1928"/>
      <c r="L1928"/>
      <c r="M1928"/>
      <c r="N1928"/>
      <c r="O1928"/>
      <c r="P1928"/>
      <c r="Q1928"/>
      <c r="R1928"/>
      <c r="S1928"/>
    </row>
    <row r="1929" spans="7:19" x14ac:dyDescent="0.25">
      <c r="G1929"/>
      <c r="H1929"/>
      <c r="I1929"/>
      <c r="J1929"/>
      <c r="L1929"/>
      <c r="M1929"/>
      <c r="N1929"/>
      <c r="O1929"/>
      <c r="P1929"/>
      <c r="Q1929"/>
      <c r="R1929"/>
      <c r="S1929"/>
    </row>
    <row r="1930" spans="7:19" x14ac:dyDescent="0.25">
      <c r="G1930"/>
      <c r="H1930"/>
      <c r="I1930"/>
      <c r="J1930"/>
      <c r="L1930"/>
      <c r="M1930"/>
      <c r="N1930"/>
      <c r="O1930"/>
      <c r="P1930"/>
      <c r="Q1930"/>
      <c r="R1930"/>
      <c r="S1930"/>
    </row>
    <row r="1931" spans="7:19" x14ac:dyDescent="0.25">
      <c r="G1931"/>
      <c r="H1931"/>
      <c r="I1931"/>
      <c r="J1931"/>
      <c r="L1931"/>
      <c r="M1931"/>
      <c r="N1931"/>
      <c r="O1931"/>
      <c r="P1931"/>
      <c r="Q1931"/>
      <c r="R1931"/>
      <c r="S1931"/>
    </row>
    <row r="1932" spans="7:19" x14ac:dyDescent="0.25">
      <c r="G1932"/>
      <c r="H1932"/>
      <c r="I1932"/>
      <c r="J1932"/>
      <c r="L1932"/>
      <c r="M1932"/>
      <c r="N1932"/>
      <c r="O1932"/>
      <c r="P1932"/>
      <c r="Q1932"/>
      <c r="R1932"/>
      <c r="S1932"/>
    </row>
    <row r="1933" spans="7:19" x14ac:dyDescent="0.25">
      <c r="G1933"/>
      <c r="H1933"/>
      <c r="I1933"/>
      <c r="J1933"/>
      <c r="L1933"/>
      <c r="M1933"/>
      <c r="N1933"/>
      <c r="O1933"/>
      <c r="P1933"/>
      <c r="Q1933"/>
      <c r="R1933"/>
      <c r="S1933"/>
    </row>
    <row r="1934" spans="7:19" x14ac:dyDescent="0.25">
      <c r="G1934"/>
      <c r="H1934"/>
      <c r="I1934"/>
      <c r="J1934"/>
      <c r="L1934"/>
      <c r="M1934"/>
      <c r="N1934"/>
      <c r="O1934"/>
      <c r="P1934"/>
      <c r="Q1934"/>
      <c r="R1934"/>
      <c r="S1934"/>
    </row>
    <row r="1935" spans="7:19" x14ac:dyDescent="0.25">
      <c r="G1935"/>
      <c r="H1935"/>
      <c r="I1935"/>
      <c r="J1935"/>
      <c r="L1935"/>
      <c r="M1935"/>
      <c r="N1935"/>
      <c r="O1935"/>
      <c r="P1935"/>
      <c r="Q1935"/>
      <c r="R1935"/>
      <c r="S1935"/>
    </row>
    <row r="1936" spans="7:19" x14ac:dyDescent="0.25">
      <c r="G1936"/>
      <c r="H1936"/>
      <c r="I1936"/>
      <c r="J1936"/>
      <c r="L1936"/>
      <c r="M1936"/>
      <c r="N1936"/>
      <c r="O1936"/>
      <c r="P1936"/>
      <c r="Q1936"/>
      <c r="R1936"/>
      <c r="S1936"/>
    </row>
    <row r="1937" spans="7:19" x14ac:dyDescent="0.25">
      <c r="G1937"/>
      <c r="H1937"/>
      <c r="I1937"/>
      <c r="J1937"/>
      <c r="L1937"/>
      <c r="M1937"/>
      <c r="N1937"/>
      <c r="O1937"/>
      <c r="P1937"/>
      <c r="Q1937"/>
      <c r="R1937"/>
      <c r="S1937"/>
    </row>
    <row r="1938" spans="7:19" x14ac:dyDescent="0.25">
      <c r="G1938"/>
      <c r="H1938"/>
      <c r="I1938"/>
      <c r="J1938"/>
      <c r="L1938"/>
      <c r="M1938"/>
      <c r="N1938"/>
      <c r="O1938"/>
      <c r="P1938"/>
      <c r="Q1938"/>
      <c r="R1938"/>
      <c r="S1938"/>
    </row>
    <row r="1939" spans="7:19" x14ac:dyDescent="0.25">
      <c r="G1939"/>
      <c r="H1939"/>
      <c r="I1939"/>
      <c r="J1939"/>
      <c r="L1939"/>
      <c r="M1939"/>
      <c r="N1939"/>
      <c r="O1939"/>
      <c r="P1939"/>
      <c r="Q1939"/>
      <c r="R1939"/>
      <c r="S1939"/>
    </row>
    <row r="1940" spans="7:19" x14ac:dyDescent="0.25">
      <c r="G1940"/>
      <c r="H1940"/>
      <c r="I1940"/>
      <c r="J1940"/>
      <c r="L1940"/>
      <c r="M1940"/>
      <c r="N1940"/>
      <c r="O1940"/>
      <c r="P1940"/>
      <c r="Q1940"/>
      <c r="R1940"/>
      <c r="S1940"/>
    </row>
    <row r="1941" spans="7:19" x14ac:dyDescent="0.25">
      <c r="G1941"/>
      <c r="H1941"/>
      <c r="I1941"/>
      <c r="J1941"/>
      <c r="L1941"/>
      <c r="M1941"/>
      <c r="N1941"/>
      <c r="O1941"/>
      <c r="P1941"/>
      <c r="Q1941"/>
      <c r="R1941"/>
      <c r="S1941"/>
    </row>
    <row r="1942" spans="7:19" x14ac:dyDescent="0.25">
      <c r="G1942"/>
      <c r="H1942"/>
      <c r="I1942"/>
      <c r="J1942"/>
      <c r="L1942"/>
      <c r="M1942"/>
      <c r="N1942"/>
      <c r="O1942"/>
      <c r="P1942"/>
      <c r="Q1942"/>
      <c r="R1942"/>
      <c r="S1942"/>
    </row>
    <row r="1943" spans="7:19" x14ac:dyDescent="0.25">
      <c r="G1943"/>
      <c r="H1943"/>
      <c r="I1943"/>
      <c r="J1943"/>
      <c r="L1943"/>
      <c r="M1943"/>
      <c r="N1943"/>
      <c r="O1943"/>
      <c r="P1943"/>
      <c r="Q1943"/>
      <c r="R1943"/>
      <c r="S1943"/>
    </row>
    <row r="1944" spans="7:19" x14ac:dyDescent="0.25">
      <c r="G1944"/>
      <c r="H1944"/>
      <c r="I1944"/>
      <c r="J1944"/>
      <c r="L1944"/>
      <c r="M1944"/>
      <c r="N1944"/>
      <c r="O1944"/>
      <c r="P1944"/>
      <c r="Q1944"/>
      <c r="R1944"/>
      <c r="S1944"/>
    </row>
    <row r="1945" spans="7:19" x14ac:dyDescent="0.25">
      <c r="G1945"/>
      <c r="H1945"/>
      <c r="I1945"/>
      <c r="J1945"/>
      <c r="L1945"/>
      <c r="M1945"/>
      <c r="N1945"/>
      <c r="O1945"/>
      <c r="P1945"/>
      <c r="Q1945"/>
      <c r="R1945"/>
      <c r="S1945"/>
    </row>
    <row r="1946" spans="7:19" x14ac:dyDescent="0.25">
      <c r="G1946"/>
      <c r="H1946"/>
      <c r="I1946"/>
      <c r="J1946"/>
      <c r="L1946"/>
      <c r="M1946"/>
      <c r="N1946"/>
      <c r="O1946"/>
      <c r="P1946"/>
      <c r="Q1946"/>
      <c r="R1946"/>
      <c r="S1946"/>
    </row>
    <row r="1947" spans="7:19" x14ac:dyDescent="0.25">
      <c r="G1947"/>
      <c r="H1947"/>
      <c r="I1947"/>
      <c r="J1947"/>
      <c r="L1947"/>
      <c r="M1947"/>
      <c r="N1947"/>
      <c r="O1947"/>
      <c r="P1947"/>
      <c r="Q1947"/>
      <c r="R1947"/>
      <c r="S1947"/>
    </row>
    <row r="1948" spans="7:19" x14ac:dyDescent="0.25">
      <c r="G1948"/>
      <c r="H1948"/>
      <c r="I1948"/>
      <c r="J1948"/>
      <c r="L1948"/>
      <c r="M1948"/>
      <c r="N1948"/>
      <c r="O1948"/>
      <c r="P1948"/>
      <c r="Q1948"/>
      <c r="R1948"/>
      <c r="S1948"/>
    </row>
    <row r="1949" spans="7:19" x14ac:dyDescent="0.25">
      <c r="G1949"/>
      <c r="H1949"/>
      <c r="I1949"/>
      <c r="J1949"/>
      <c r="L1949"/>
      <c r="M1949"/>
      <c r="N1949"/>
      <c r="O1949"/>
      <c r="P1949"/>
      <c r="Q1949"/>
      <c r="R1949"/>
      <c r="S1949"/>
    </row>
    <row r="1950" spans="7:19" x14ac:dyDescent="0.25">
      <c r="G1950"/>
      <c r="H1950"/>
      <c r="I1950"/>
      <c r="J1950"/>
      <c r="L1950"/>
      <c r="M1950"/>
      <c r="N1950"/>
      <c r="O1950"/>
      <c r="P1950"/>
      <c r="Q1950"/>
      <c r="R1950"/>
      <c r="S1950"/>
    </row>
    <row r="1951" spans="7:19" x14ac:dyDescent="0.25">
      <c r="G1951"/>
      <c r="H1951"/>
      <c r="I1951"/>
      <c r="J1951"/>
      <c r="L1951"/>
      <c r="M1951"/>
      <c r="N1951"/>
      <c r="O1951"/>
      <c r="P1951"/>
      <c r="Q1951"/>
      <c r="R1951"/>
      <c r="S1951"/>
    </row>
    <row r="1952" spans="7:19" x14ac:dyDescent="0.25">
      <c r="G1952"/>
      <c r="H1952"/>
      <c r="I1952"/>
      <c r="J1952"/>
      <c r="L1952"/>
      <c r="M1952"/>
      <c r="N1952"/>
      <c r="O1952"/>
      <c r="P1952"/>
      <c r="Q1952"/>
      <c r="R1952"/>
      <c r="S1952"/>
    </row>
    <row r="1953" spans="7:19" x14ac:dyDescent="0.25">
      <c r="G1953"/>
      <c r="H1953"/>
      <c r="I1953"/>
      <c r="J1953"/>
      <c r="L1953"/>
      <c r="M1953"/>
      <c r="N1953"/>
      <c r="O1953"/>
      <c r="P1953"/>
      <c r="Q1953"/>
      <c r="R1953"/>
      <c r="S1953"/>
    </row>
    <row r="1954" spans="7:19" x14ac:dyDescent="0.25">
      <c r="G1954"/>
      <c r="H1954"/>
      <c r="I1954"/>
      <c r="J1954"/>
      <c r="L1954"/>
      <c r="M1954"/>
      <c r="N1954"/>
      <c r="O1954"/>
      <c r="P1954"/>
      <c r="Q1954"/>
      <c r="R1954"/>
      <c r="S1954"/>
    </row>
    <row r="1955" spans="7:19" x14ac:dyDescent="0.25">
      <c r="G1955"/>
      <c r="H1955"/>
      <c r="I1955"/>
      <c r="J1955"/>
      <c r="L1955"/>
      <c r="M1955"/>
      <c r="N1955"/>
      <c r="O1955"/>
      <c r="P1955"/>
      <c r="Q1955"/>
      <c r="R1955"/>
      <c r="S1955"/>
    </row>
    <row r="1956" spans="7:19" x14ac:dyDescent="0.25">
      <c r="G1956"/>
      <c r="H1956"/>
      <c r="I1956"/>
      <c r="J1956"/>
      <c r="L1956"/>
      <c r="M1956"/>
      <c r="N1956"/>
      <c r="O1956"/>
      <c r="P1956"/>
      <c r="Q1956"/>
      <c r="R1956"/>
      <c r="S1956"/>
    </row>
    <row r="1957" spans="7:19" x14ac:dyDescent="0.25">
      <c r="G1957"/>
      <c r="H1957"/>
      <c r="I1957"/>
      <c r="J1957"/>
      <c r="L1957"/>
      <c r="M1957"/>
      <c r="N1957"/>
      <c r="O1957"/>
      <c r="P1957"/>
      <c r="Q1957"/>
      <c r="R1957"/>
      <c r="S1957"/>
    </row>
    <row r="1958" spans="7:19" x14ac:dyDescent="0.25">
      <c r="G1958"/>
      <c r="H1958"/>
      <c r="I1958"/>
      <c r="J1958"/>
      <c r="L1958"/>
      <c r="M1958"/>
      <c r="N1958"/>
      <c r="O1958"/>
      <c r="P1958"/>
      <c r="Q1958"/>
      <c r="R1958"/>
      <c r="S1958"/>
    </row>
    <row r="1959" spans="7:19" x14ac:dyDescent="0.25">
      <c r="G1959"/>
      <c r="H1959"/>
      <c r="I1959"/>
      <c r="J1959"/>
      <c r="L1959"/>
      <c r="M1959"/>
      <c r="N1959"/>
      <c r="O1959"/>
      <c r="P1959"/>
      <c r="Q1959"/>
      <c r="R1959"/>
      <c r="S1959"/>
    </row>
    <row r="1960" spans="7:19" x14ac:dyDescent="0.25">
      <c r="G1960"/>
      <c r="H1960"/>
      <c r="I1960"/>
      <c r="J1960"/>
      <c r="L1960"/>
      <c r="M1960"/>
      <c r="N1960"/>
      <c r="O1960"/>
      <c r="P1960"/>
      <c r="Q1960"/>
      <c r="R1960"/>
      <c r="S1960"/>
    </row>
    <row r="1961" spans="7:19" x14ac:dyDescent="0.25">
      <c r="G1961"/>
      <c r="H1961"/>
      <c r="I1961"/>
      <c r="J1961"/>
      <c r="L1961"/>
      <c r="M1961"/>
      <c r="N1961"/>
      <c r="O1961"/>
      <c r="P1961"/>
      <c r="Q1961"/>
      <c r="R1961"/>
      <c r="S1961"/>
    </row>
    <row r="1962" spans="7:19" x14ac:dyDescent="0.25">
      <c r="G1962"/>
      <c r="H1962"/>
      <c r="I1962"/>
      <c r="J1962"/>
      <c r="L1962"/>
      <c r="M1962"/>
      <c r="N1962"/>
      <c r="O1962"/>
      <c r="P1962"/>
      <c r="Q1962"/>
      <c r="R1962"/>
      <c r="S1962"/>
    </row>
    <row r="1963" spans="7:19" x14ac:dyDescent="0.25">
      <c r="G1963"/>
      <c r="H1963"/>
      <c r="I1963"/>
      <c r="J1963"/>
      <c r="L1963"/>
      <c r="M1963"/>
      <c r="N1963"/>
      <c r="O1963"/>
      <c r="P1963"/>
      <c r="Q1963"/>
      <c r="R1963"/>
      <c r="S1963"/>
    </row>
    <row r="1964" spans="7:19" x14ac:dyDescent="0.25">
      <c r="G1964"/>
      <c r="H1964"/>
      <c r="I1964"/>
      <c r="J1964"/>
      <c r="L1964"/>
      <c r="M1964"/>
      <c r="N1964"/>
      <c r="O1964"/>
      <c r="P1964"/>
      <c r="Q1964"/>
      <c r="R1964"/>
      <c r="S1964"/>
    </row>
    <row r="1965" spans="7:19" x14ac:dyDescent="0.25">
      <c r="G1965"/>
      <c r="H1965"/>
      <c r="I1965"/>
      <c r="J1965"/>
      <c r="L1965"/>
      <c r="M1965"/>
      <c r="N1965"/>
      <c r="O1965"/>
      <c r="P1965"/>
      <c r="Q1965"/>
      <c r="R1965"/>
      <c r="S1965"/>
    </row>
    <row r="1966" spans="7:19" x14ac:dyDescent="0.25">
      <c r="G1966"/>
      <c r="H1966"/>
      <c r="I1966"/>
      <c r="J1966"/>
      <c r="L1966"/>
      <c r="M1966"/>
      <c r="N1966"/>
      <c r="O1966"/>
      <c r="P1966"/>
      <c r="Q1966"/>
      <c r="R1966"/>
      <c r="S1966"/>
    </row>
    <row r="1967" spans="7:19" x14ac:dyDescent="0.25">
      <c r="G1967"/>
      <c r="H1967"/>
      <c r="I1967"/>
      <c r="J1967"/>
      <c r="L1967"/>
      <c r="M1967"/>
      <c r="N1967"/>
      <c r="O1967"/>
      <c r="P1967"/>
      <c r="Q1967"/>
      <c r="R1967"/>
      <c r="S1967"/>
    </row>
    <row r="1968" spans="7:19" x14ac:dyDescent="0.25">
      <c r="G1968"/>
      <c r="H1968"/>
      <c r="I1968"/>
      <c r="J1968"/>
      <c r="L1968"/>
      <c r="M1968"/>
      <c r="N1968"/>
      <c r="O1968"/>
      <c r="P1968"/>
      <c r="Q1968"/>
      <c r="R1968"/>
      <c r="S1968"/>
    </row>
    <row r="1969" spans="7:19" x14ac:dyDescent="0.25">
      <c r="G1969"/>
      <c r="H1969"/>
      <c r="I1969"/>
      <c r="J1969"/>
      <c r="L1969"/>
      <c r="M1969"/>
      <c r="N1969"/>
      <c r="O1969"/>
      <c r="P1969"/>
      <c r="Q1969"/>
      <c r="R1969"/>
      <c r="S1969"/>
    </row>
    <row r="1970" spans="7:19" x14ac:dyDescent="0.25">
      <c r="G1970"/>
      <c r="H1970"/>
      <c r="I1970"/>
      <c r="J1970"/>
      <c r="L1970"/>
      <c r="M1970"/>
      <c r="N1970"/>
      <c r="O1970"/>
      <c r="P1970"/>
      <c r="Q1970"/>
      <c r="R1970"/>
      <c r="S1970"/>
    </row>
    <row r="1971" spans="7:19" x14ac:dyDescent="0.25">
      <c r="G1971"/>
      <c r="H1971"/>
      <c r="I1971"/>
      <c r="J1971"/>
      <c r="L1971"/>
      <c r="M1971"/>
      <c r="N1971"/>
      <c r="O1971"/>
      <c r="P1971"/>
      <c r="Q1971"/>
      <c r="R1971"/>
      <c r="S1971"/>
    </row>
    <row r="1972" spans="7:19" x14ac:dyDescent="0.25">
      <c r="G1972"/>
      <c r="H1972"/>
      <c r="I1972"/>
      <c r="J1972"/>
      <c r="L1972"/>
      <c r="M1972"/>
      <c r="N1972"/>
      <c r="O1972"/>
      <c r="P1972"/>
      <c r="Q1972"/>
      <c r="R1972"/>
      <c r="S1972"/>
    </row>
    <row r="1973" spans="7:19" x14ac:dyDescent="0.25">
      <c r="G1973"/>
      <c r="H1973"/>
      <c r="I1973"/>
      <c r="J1973"/>
      <c r="L1973"/>
      <c r="M1973"/>
      <c r="N1973"/>
      <c r="O1973"/>
      <c r="P1973"/>
      <c r="Q1973"/>
      <c r="R1973"/>
      <c r="S1973"/>
    </row>
    <row r="1974" spans="7:19" x14ac:dyDescent="0.25">
      <c r="G1974"/>
      <c r="H1974"/>
      <c r="I1974"/>
      <c r="J1974"/>
      <c r="L1974"/>
      <c r="M1974"/>
      <c r="N1974"/>
      <c r="O1974"/>
      <c r="P1974"/>
      <c r="Q1974"/>
      <c r="R1974"/>
      <c r="S1974"/>
    </row>
    <row r="1975" spans="7:19" x14ac:dyDescent="0.25">
      <c r="G1975"/>
      <c r="H1975"/>
      <c r="I1975"/>
      <c r="J1975"/>
      <c r="L1975"/>
      <c r="M1975"/>
      <c r="N1975"/>
      <c r="O1975"/>
      <c r="P1975"/>
      <c r="Q1975"/>
      <c r="R1975"/>
      <c r="S1975"/>
    </row>
    <row r="1976" spans="7:19" x14ac:dyDescent="0.25">
      <c r="G1976"/>
      <c r="H1976"/>
      <c r="I1976"/>
      <c r="J1976"/>
      <c r="L1976"/>
      <c r="M1976"/>
      <c r="N1976"/>
      <c r="O1976"/>
      <c r="P1976"/>
      <c r="Q1976"/>
      <c r="R1976"/>
      <c r="S1976"/>
    </row>
    <row r="1977" spans="7:19" x14ac:dyDescent="0.25">
      <c r="G1977"/>
      <c r="H1977"/>
      <c r="I1977"/>
      <c r="J1977"/>
      <c r="L1977"/>
      <c r="M1977"/>
      <c r="N1977"/>
      <c r="O1977"/>
      <c r="P1977"/>
      <c r="Q1977"/>
      <c r="R1977"/>
      <c r="S1977"/>
    </row>
    <row r="1978" spans="7:19" x14ac:dyDescent="0.25">
      <c r="G1978"/>
      <c r="H1978"/>
      <c r="I1978"/>
      <c r="J1978"/>
      <c r="L1978"/>
      <c r="M1978"/>
      <c r="N1978"/>
      <c r="O1978"/>
      <c r="P1978"/>
      <c r="Q1978"/>
      <c r="R1978"/>
      <c r="S1978"/>
    </row>
    <row r="1979" spans="7:19" x14ac:dyDescent="0.25">
      <c r="G1979"/>
      <c r="H1979"/>
      <c r="I1979"/>
      <c r="J1979"/>
      <c r="L1979"/>
      <c r="M1979"/>
      <c r="N1979"/>
      <c r="O1979"/>
      <c r="P1979"/>
      <c r="Q1979"/>
      <c r="R1979"/>
      <c r="S1979"/>
    </row>
    <row r="1980" spans="7:19" x14ac:dyDescent="0.25">
      <c r="G1980"/>
      <c r="H1980"/>
      <c r="I1980"/>
      <c r="J1980"/>
      <c r="L1980"/>
      <c r="M1980"/>
      <c r="N1980"/>
      <c r="O1980"/>
      <c r="P1980"/>
      <c r="Q1980"/>
      <c r="R1980"/>
      <c r="S1980"/>
    </row>
    <row r="1981" spans="7:19" x14ac:dyDescent="0.25">
      <c r="G1981"/>
      <c r="H1981"/>
      <c r="I1981"/>
      <c r="J1981"/>
      <c r="L1981"/>
      <c r="M1981"/>
      <c r="N1981"/>
      <c r="O1981"/>
      <c r="P1981"/>
      <c r="Q1981"/>
      <c r="R1981"/>
      <c r="S1981"/>
    </row>
    <row r="1982" spans="7:19" x14ac:dyDescent="0.25">
      <c r="G1982"/>
      <c r="H1982"/>
      <c r="I1982"/>
      <c r="J1982"/>
      <c r="L1982"/>
      <c r="M1982"/>
      <c r="N1982"/>
      <c r="O1982"/>
      <c r="P1982"/>
      <c r="Q1982"/>
      <c r="R1982"/>
      <c r="S1982"/>
    </row>
    <row r="1983" spans="7:19" x14ac:dyDescent="0.25">
      <c r="G1983"/>
      <c r="H1983"/>
      <c r="I1983"/>
      <c r="J1983"/>
      <c r="L1983"/>
      <c r="M1983"/>
      <c r="N1983"/>
      <c r="O1983"/>
      <c r="P1983"/>
      <c r="Q1983"/>
      <c r="R1983"/>
      <c r="S1983"/>
    </row>
    <row r="1984" spans="7:19" x14ac:dyDescent="0.25">
      <c r="G1984"/>
      <c r="H1984"/>
      <c r="I1984"/>
      <c r="J1984"/>
      <c r="L1984"/>
      <c r="M1984"/>
      <c r="N1984"/>
      <c r="O1984"/>
      <c r="P1984"/>
      <c r="Q1984"/>
      <c r="R1984"/>
      <c r="S1984"/>
    </row>
    <row r="1985" spans="7:19" x14ac:dyDescent="0.25">
      <c r="G1985"/>
      <c r="H1985"/>
      <c r="I1985"/>
      <c r="J1985"/>
      <c r="L1985"/>
      <c r="M1985"/>
      <c r="N1985"/>
      <c r="O1985"/>
      <c r="P1985"/>
      <c r="Q1985"/>
      <c r="R1985"/>
      <c r="S1985"/>
    </row>
    <row r="1986" spans="7:19" x14ac:dyDescent="0.25">
      <c r="G1986"/>
      <c r="H1986"/>
      <c r="I1986"/>
      <c r="J1986"/>
      <c r="L1986"/>
      <c r="M1986"/>
      <c r="N1986"/>
      <c r="O1986"/>
      <c r="P1986"/>
      <c r="Q1986"/>
      <c r="R1986"/>
      <c r="S1986"/>
    </row>
    <row r="1987" spans="7:19" x14ac:dyDescent="0.25">
      <c r="G1987"/>
      <c r="H1987"/>
      <c r="I1987"/>
      <c r="J1987"/>
      <c r="L1987"/>
      <c r="M1987"/>
      <c r="N1987"/>
      <c r="O1987"/>
      <c r="P1987"/>
      <c r="Q1987"/>
      <c r="R1987"/>
      <c r="S1987"/>
    </row>
    <row r="1988" spans="7:19" x14ac:dyDescent="0.25">
      <c r="G1988"/>
      <c r="H1988"/>
      <c r="I1988"/>
      <c r="J1988"/>
      <c r="L1988"/>
      <c r="M1988"/>
      <c r="N1988"/>
      <c r="O1988"/>
      <c r="P1988"/>
      <c r="Q1988"/>
      <c r="R1988"/>
      <c r="S1988"/>
    </row>
    <row r="1989" spans="7:19" x14ac:dyDescent="0.25">
      <c r="G1989"/>
      <c r="H1989"/>
      <c r="I1989"/>
      <c r="J1989"/>
      <c r="L1989"/>
      <c r="M1989"/>
      <c r="N1989"/>
      <c r="O1989"/>
      <c r="P1989"/>
      <c r="Q1989"/>
      <c r="R1989"/>
      <c r="S1989"/>
    </row>
    <row r="1990" spans="7:19" x14ac:dyDescent="0.25">
      <c r="G1990"/>
      <c r="H1990"/>
      <c r="I1990"/>
      <c r="J1990"/>
      <c r="L1990"/>
      <c r="M1990"/>
      <c r="N1990"/>
      <c r="O1990"/>
      <c r="P1990"/>
      <c r="Q1990"/>
      <c r="R1990"/>
      <c r="S1990"/>
    </row>
    <row r="1991" spans="7:19" x14ac:dyDescent="0.25">
      <c r="G1991"/>
      <c r="H1991"/>
      <c r="I1991"/>
      <c r="J1991"/>
      <c r="L1991"/>
      <c r="M1991"/>
      <c r="N1991"/>
      <c r="O1991"/>
      <c r="P1991"/>
      <c r="Q1991"/>
      <c r="R1991"/>
      <c r="S1991"/>
    </row>
    <row r="1992" spans="7:19" x14ac:dyDescent="0.25">
      <c r="G1992"/>
      <c r="H1992"/>
      <c r="I1992"/>
      <c r="J1992"/>
      <c r="L1992"/>
      <c r="M1992"/>
      <c r="N1992"/>
      <c r="O1992"/>
      <c r="P1992"/>
      <c r="Q1992"/>
      <c r="R1992"/>
      <c r="S1992"/>
    </row>
    <row r="1993" spans="7:19" x14ac:dyDescent="0.25">
      <c r="G1993"/>
      <c r="H1993"/>
      <c r="I1993"/>
      <c r="J1993"/>
      <c r="L1993"/>
      <c r="M1993"/>
      <c r="N1993"/>
      <c r="O1993"/>
      <c r="P1993"/>
      <c r="Q1993"/>
      <c r="R1993"/>
      <c r="S1993"/>
    </row>
    <row r="1994" spans="7:19" x14ac:dyDescent="0.25">
      <c r="G1994"/>
      <c r="H1994"/>
      <c r="I1994"/>
      <c r="J1994"/>
      <c r="L1994"/>
      <c r="M1994"/>
      <c r="N1994"/>
      <c r="O1994"/>
      <c r="P1994"/>
      <c r="Q1994"/>
      <c r="R1994"/>
      <c r="S1994"/>
    </row>
    <row r="1995" spans="7:19" x14ac:dyDescent="0.25">
      <c r="G1995"/>
      <c r="H1995"/>
      <c r="I1995"/>
      <c r="J1995"/>
      <c r="L1995"/>
      <c r="M1995"/>
      <c r="N1995"/>
      <c r="O1995"/>
      <c r="P1995"/>
      <c r="Q1995"/>
      <c r="R1995"/>
      <c r="S1995"/>
    </row>
    <row r="1996" spans="7:19" x14ac:dyDescent="0.25">
      <c r="G1996"/>
      <c r="H1996"/>
      <c r="I1996"/>
      <c r="J1996"/>
      <c r="L1996"/>
      <c r="M1996"/>
      <c r="N1996"/>
      <c r="O1996"/>
      <c r="P1996"/>
      <c r="Q1996"/>
      <c r="R1996"/>
      <c r="S1996"/>
    </row>
    <row r="1997" spans="7:19" x14ac:dyDescent="0.25">
      <c r="G1997"/>
      <c r="H1997"/>
      <c r="I1997"/>
      <c r="J1997"/>
      <c r="L1997"/>
      <c r="M1997"/>
      <c r="N1997"/>
      <c r="O1997"/>
      <c r="P1997"/>
      <c r="Q1997"/>
      <c r="R1997"/>
      <c r="S1997"/>
    </row>
    <row r="1998" spans="7:19" x14ac:dyDescent="0.25">
      <c r="G1998"/>
      <c r="H1998"/>
      <c r="I1998"/>
      <c r="J1998"/>
      <c r="L1998"/>
      <c r="M1998"/>
      <c r="N1998"/>
      <c r="O1998"/>
      <c r="P1998"/>
      <c r="Q1998"/>
      <c r="R1998"/>
      <c r="S1998"/>
    </row>
    <row r="1999" spans="7:19" x14ac:dyDescent="0.25">
      <c r="G1999"/>
      <c r="H1999"/>
      <c r="I1999"/>
      <c r="J1999"/>
      <c r="L1999"/>
      <c r="M1999"/>
      <c r="N1999"/>
      <c r="O1999"/>
      <c r="P1999"/>
      <c r="Q1999"/>
      <c r="R1999"/>
      <c r="S1999"/>
    </row>
    <row r="2000" spans="7:19" x14ac:dyDescent="0.25">
      <c r="G2000"/>
      <c r="H2000"/>
      <c r="I2000"/>
      <c r="J2000"/>
      <c r="L2000"/>
      <c r="M2000"/>
      <c r="N2000"/>
      <c r="O2000"/>
      <c r="P2000"/>
      <c r="Q2000"/>
      <c r="R2000"/>
      <c r="S2000"/>
    </row>
    <row r="2001" spans="18:19" x14ac:dyDescent="0.25">
      <c r="R2001"/>
      <c r="S2001"/>
    </row>
    <row r="2002" spans="18:19" x14ac:dyDescent="0.25">
      <c r="R2002"/>
      <c r="S2002"/>
    </row>
    <row r="2003" spans="18:19" x14ac:dyDescent="0.25">
      <c r="R2003"/>
      <c r="S2003"/>
    </row>
    <row r="2004" spans="18:19" x14ac:dyDescent="0.25">
      <c r="R2004"/>
      <c r="S2004"/>
    </row>
    <row r="2005" spans="18:19" x14ac:dyDescent="0.25">
      <c r="R2005"/>
      <c r="S2005"/>
    </row>
    <row r="2006" spans="18:19" x14ac:dyDescent="0.25">
      <c r="R2006"/>
      <c r="S2006"/>
    </row>
    <row r="2007" spans="18:19" x14ac:dyDescent="0.25">
      <c r="R2007"/>
      <c r="S2007"/>
    </row>
    <row r="2008" spans="18:19" x14ac:dyDescent="0.25">
      <c r="R2008"/>
      <c r="S2008"/>
    </row>
    <row r="2009" spans="18:19" x14ac:dyDescent="0.25">
      <c r="R2009"/>
      <c r="S2009"/>
    </row>
    <row r="2010" spans="18:19" x14ac:dyDescent="0.25">
      <c r="R2010"/>
      <c r="S2010"/>
    </row>
    <row r="2011" spans="18:19" x14ac:dyDescent="0.25">
      <c r="R2011"/>
      <c r="S2011"/>
    </row>
    <row r="2012" spans="18:19" x14ac:dyDescent="0.25">
      <c r="R2012"/>
      <c r="S2012"/>
    </row>
    <row r="2013" spans="18:19" x14ac:dyDescent="0.25">
      <c r="R2013"/>
      <c r="S2013"/>
    </row>
    <row r="2014" spans="18:19" x14ac:dyDescent="0.25">
      <c r="R2014"/>
      <c r="S2014"/>
    </row>
    <row r="2015" spans="18:19" x14ac:dyDescent="0.25">
      <c r="R2015"/>
      <c r="S2015"/>
    </row>
    <row r="2016" spans="18:19" x14ac:dyDescent="0.25">
      <c r="R2016"/>
      <c r="S2016"/>
    </row>
    <row r="2017" spans="18:19" x14ac:dyDescent="0.25">
      <c r="R2017"/>
      <c r="S2017"/>
    </row>
    <row r="2018" spans="18:19" x14ac:dyDescent="0.25">
      <c r="R2018"/>
      <c r="S2018"/>
    </row>
    <row r="2019" spans="18:19" x14ac:dyDescent="0.25">
      <c r="R2019"/>
      <c r="S2019"/>
    </row>
    <row r="2020" spans="18:19" x14ac:dyDescent="0.25">
      <c r="R2020"/>
      <c r="S2020"/>
    </row>
    <row r="2021" spans="18:19" x14ac:dyDescent="0.25">
      <c r="R2021"/>
      <c r="S2021"/>
    </row>
    <row r="2022" spans="18:19" x14ac:dyDescent="0.25">
      <c r="R2022"/>
      <c r="S2022"/>
    </row>
    <row r="2023" spans="18:19" x14ac:dyDescent="0.25">
      <c r="R2023"/>
      <c r="S2023"/>
    </row>
    <row r="2024" spans="18:19" x14ac:dyDescent="0.25">
      <c r="R2024"/>
      <c r="S2024"/>
    </row>
    <row r="2025" spans="18:19" x14ac:dyDescent="0.25">
      <c r="R2025"/>
      <c r="S2025"/>
    </row>
    <row r="2026" spans="18:19" x14ac:dyDescent="0.25">
      <c r="R2026"/>
      <c r="S2026"/>
    </row>
    <row r="2027" spans="18:19" x14ac:dyDescent="0.25">
      <c r="R2027"/>
      <c r="S2027"/>
    </row>
    <row r="2028" spans="18:19" x14ac:dyDescent="0.25">
      <c r="R2028"/>
      <c r="S2028"/>
    </row>
    <row r="2029" spans="18:19" x14ac:dyDescent="0.25">
      <c r="R2029"/>
      <c r="S2029"/>
    </row>
    <row r="2030" spans="18:19" x14ac:dyDescent="0.25">
      <c r="R2030"/>
      <c r="S2030"/>
    </row>
    <row r="2031" spans="18:19" x14ac:dyDescent="0.25">
      <c r="R2031"/>
      <c r="S2031"/>
    </row>
    <row r="2032" spans="18:19" x14ac:dyDescent="0.25">
      <c r="R2032"/>
      <c r="S2032"/>
    </row>
    <row r="2033" spans="18:19" x14ac:dyDescent="0.25">
      <c r="R2033"/>
      <c r="S2033"/>
    </row>
    <row r="2034" spans="18:19" x14ac:dyDescent="0.25">
      <c r="R2034"/>
      <c r="S2034"/>
    </row>
    <row r="2035" spans="18:19" x14ac:dyDescent="0.25">
      <c r="R2035"/>
      <c r="S2035"/>
    </row>
    <row r="2036" spans="18:19" x14ac:dyDescent="0.25">
      <c r="R2036"/>
      <c r="S2036"/>
    </row>
    <row r="2037" spans="18:19" x14ac:dyDescent="0.25">
      <c r="R2037"/>
      <c r="S2037"/>
    </row>
    <row r="2038" spans="18:19" x14ac:dyDescent="0.25">
      <c r="R2038"/>
      <c r="S2038"/>
    </row>
    <row r="2039" spans="18:19" x14ac:dyDescent="0.25">
      <c r="R2039"/>
      <c r="S2039"/>
    </row>
    <row r="2040" spans="18:19" x14ac:dyDescent="0.25">
      <c r="R2040"/>
      <c r="S2040"/>
    </row>
    <row r="2041" spans="18:19" x14ac:dyDescent="0.25">
      <c r="R2041"/>
      <c r="S2041"/>
    </row>
    <row r="2042" spans="18:19" x14ac:dyDescent="0.25">
      <c r="R2042"/>
      <c r="S2042"/>
    </row>
    <row r="2043" spans="18:19" x14ac:dyDescent="0.25">
      <c r="R2043"/>
      <c r="S2043"/>
    </row>
    <row r="2044" spans="18:19" x14ac:dyDescent="0.25">
      <c r="R2044"/>
      <c r="S2044"/>
    </row>
    <row r="2045" spans="18:19" x14ac:dyDescent="0.25">
      <c r="R2045"/>
      <c r="S2045"/>
    </row>
    <row r="2046" spans="18:19" x14ac:dyDescent="0.25">
      <c r="R2046"/>
      <c r="S2046"/>
    </row>
    <row r="2047" spans="18:19" x14ac:dyDescent="0.25">
      <c r="R2047"/>
      <c r="S2047"/>
    </row>
    <row r="2048" spans="18:19" x14ac:dyDescent="0.25">
      <c r="R2048"/>
      <c r="S2048"/>
    </row>
    <row r="2049" spans="18:19" x14ac:dyDescent="0.25">
      <c r="R2049"/>
      <c r="S2049"/>
    </row>
    <row r="2050" spans="18:19" x14ac:dyDescent="0.25">
      <c r="R2050"/>
      <c r="S2050"/>
    </row>
    <row r="2051" spans="18:19" x14ac:dyDescent="0.25">
      <c r="R2051"/>
      <c r="S2051"/>
    </row>
    <row r="2052" spans="18:19" x14ac:dyDescent="0.25">
      <c r="R2052"/>
      <c r="S2052"/>
    </row>
    <row r="2053" spans="18:19" x14ac:dyDescent="0.25">
      <c r="R2053"/>
      <c r="S2053"/>
    </row>
    <row r="2054" spans="18:19" x14ac:dyDescent="0.25">
      <c r="R2054"/>
      <c r="S2054"/>
    </row>
    <row r="2055" spans="18:19" x14ac:dyDescent="0.25">
      <c r="R2055"/>
      <c r="S2055"/>
    </row>
    <row r="2056" spans="18:19" x14ac:dyDescent="0.25">
      <c r="R2056"/>
      <c r="S2056"/>
    </row>
    <row r="2057" spans="18:19" x14ac:dyDescent="0.25">
      <c r="R2057"/>
      <c r="S2057"/>
    </row>
    <row r="2058" spans="18:19" x14ac:dyDescent="0.25">
      <c r="R2058"/>
      <c r="S2058"/>
    </row>
    <row r="2059" spans="18:19" x14ac:dyDescent="0.25">
      <c r="R2059"/>
      <c r="S2059"/>
    </row>
    <row r="2060" spans="18:19" x14ac:dyDescent="0.25">
      <c r="R2060"/>
      <c r="S2060"/>
    </row>
    <row r="2061" spans="18:19" x14ac:dyDescent="0.25">
      <c r="R2061"/>
      <c r="S2061"/>
    </row>
    <row r="2062" spans="18:19" x14ac:dyDescent="0.25">
      <c r="R2062"/>
      <c r="S2062"/>
    </row>
    <row r="2063" spans="18:19" x14ac:dyDescent="0.25">
      <c r="R2063"/>
      <c r="S2063"/>
    </row>
    <row r="2064" spans="18:19" x14ac:dyDescent="0.25">
      <c r="R2064"/>
      <c r="S2064"/>
    </row>
    <row r="2065" spans="18:19" x14ac:dyDescent="0.25">
      <c r="R2065"/>
      <c r="S2065"/>
    </row>
    <row r="2066" spans="18:19" x14ac:dyDescent="0.25">
      <c r="R2066"/>
      <c r="S2066"/>
    </row>
    <row r="2067" spans="18:19" x14ac:dyDescent="0.25">
      <c r="R2067"/>
      <c r="S2067"/>
    </row>
    <row r="2068" spans="18:19" x14ac:dyDescent="0.25">
      <c r="R2068"/>
      <c r="S2068"/>
    </row>
    <row r="2069" spans="18:19" x14ac:dyDescent="0.25">
      <c r="R2069"/>
      <c r="S2069"/>
    </row>
    <row r="2070" spans="18:19" x14ac:dyDescent="0.25">
      <c r="R2070"/>
      <c r="S2070"/>
    </row>
    <row r="2071" spans="18:19" x14ac:dyDescent="0.25">
      <c r="R2071"/>
      <c r="S2071"/>
    </row>
    <row r="2072" spans="18:19" x14ac:dyDescent="0.25">
      <c r="R2072"/>
      <c r="S2072"/>
    </row>
    <row r="2073" spans="18:19" x14ac:dyDescent="0.25">
      <c r="R2073"/>
      <c r="S2073"/>
    </row>
    <row r="2074" spans="18:19" x14ac:dyDescent="0.25">
      <c r="R2074"/>
      <c r="S2074"/>
    </row>
    <row r="2075" spans="18:19" x14ac:dyDescent="0.25">
      <c r="R2075"/>
      <c r="S2075"/>
    </row>
    <row r="2076" spans="18:19" x14ac:dyDescent="0.25">
      <c r="R2076"/>
      <c r="S2076"/>
    </row>
    <row r="2077" spans="18:19" x14ac:dyDescent="0.25">
      <c r="R2077"/>
      <c r="S2077"/>
    </row>
    <row r="2078" spans="18:19" x14ac:dyDescent="0.25">
      <c r="R2078"/>
      <c r="S2078"/>
    </row>
    <row r="2079" spans="18:19" x14ac:dyDescent="0.25">
      <c r="R2079"/>
      <c r="S2079"/>
    </row>
    <row r="2080" spans="18:19" x14ac:dyDescent="0.25">
      <c r="R2080"/>
      <c r="S2080"/>
    </row>
    <row r="2081" spans="18:19" x14ac:dyDescent="0.25">
      <c r="R2081"/>
      <c r="S2081"/>
    </row>
    <row r="2082" spans="18:19" x14ac:dyDescent="0.25">
      <c r="R2082"/>
      <c r="S2082"/>
    </row>
    <row r="2083" spans="18:19" x14ac:dyDescent="0.25">
      <c r="R2083"/>
      <c r="S2083"/>
    </row>
    <row r="2084" spans="18:19" x14ac:dyDescent="0.25">
      <c r="R2084"/>
      <c r="S2084"/>
    </row>
    <row r="2085" spans="18:19" x14ac:dyDescent="0.25">
      <c r="R2085"/>
      <c r="S2085"/>
    </row>
    <row r="2086" spans="18:19" x14ac:dyDescent="0.25">
      <c r="R2086"/>
      <c r="S2086"/>
    </row>
    <row r="2087" spans="18:19" x14ac:dyDescent="0.25">
      <c r="R2087"/>
      <c r="S2087"/>
    </row>
    <row r="2088" spans="18:19" x14ac:dyDescent="0.25">
      <c r="R2088"/>
      <c r="S2088"/>
    </row>
    <row r="2089" spans="18:19" x14ac:dyDescent="0.25">
      <c r="R2089"/>
      <c r="S2089"/>
    </row>
    <row r="2090" spans="18:19" x14ac:dyDescent="0.25">
      <c r="R2090"/>
      <c r="S2090"/>
    </row>
    <row r="2091" spans="18:19" x14ac:dyDescent="0.25">
      <c r="R2091"/>
      <c r="S2091"/>
    </row>
    <row r="2092" spans="18:19" x14ac:dyDescent="0.25">
      <c r="R2092"/>
      <c r="S2092"/>
    </row>
    <row r="2093" spans="18:19" x14ac:dyDescent="0.25">
      <c r="R2093"/>
      <c r="S2093"/>
    </row>
    <row r="2094" spans="18:19" x14ac:dyDescent="0.25">
      <c r="R2094"/>
      <c r="S2094"/>
    </row>
    <row r="2095" spans="18:19" x14ac:dyDescent="0.25">
      <c r="R2095"/>
      <c r="S2095"/>
    </row>
    <row r="2096" spans="18:19" x14ac:dyDescent="0.25">
      <c r="R2096"/>
      <c r="S2096"/>
    </row>
    <row r="2097" spans="18:19" x14ac:dyDescent="0.25">
      <c r="R2097"/>
      <c r="S2097"/>
    </row>
    <row r="2098" spans="18:19" x14ac:dyDescent="0.25">
      <c r="R2098"/>
      <c r="S2098"/>
    </row>
    <row r="2099" spans="18:19" x14ac:dyDescent="0.25">
      <c r="R2099"/>
      <c r="S2099"/>
    </row>
    <row r="2100" spans="18:19" x14ac:dyDescent="0.25">
      <c r="R2100"/>
      <c r="S2100"/>
    </row>
    <row r="2101" spans="18:19" x14ac:dyDescent="0.25">
      <c r="R2101"/>
      <c r="S2101"/>
    </row>
    <row r="2102" spans="18:19" x14ac:dyDescent="0.25">
      <c r="R2102"/>
      <c r="S2102"/>
    </row>
    <row r="2103" spans="18:19" x14ac:dyDescent="0.25">
      <c r="R2103"/>
      <c r="S2103"/>
    </row>
    <row r="2104" spans="18:19" x14ac:dyDescent="0.25">
      <c r="R2104"/>
      <c r="S2104"/>
    </row>
    <row r="2105" spans="18:19" x14ac:dyDescent="0.25">
      <c r="R2105"/>
      <c r="S2105"/>
    </row>
    <row r="2106" spans="18:19" x14ac:dyDescent="0.25">
      <c r="R2106"/>
      <c r="S2106"/>
    </row>
    <row r="2107" spans="18:19" x14ac:dyDescent="0.25">
      <c r="R2107"/>
      <c r="S2107"/>
    </row>
    <row r="2108" spans="18:19" x14ac:dyDescent="0.25">
      <c r="R2108"/>
      <c r="S2108"/>
    </row>
    <row r="2109" spans="18:19" x14ac:dyDescent="0.25">
      <c r="R2109"/>
      <c r="S2109"/>
    </row>
    <row r="2110" spans="18:19" x14ac:dyDescent="0.25">
      <c r="R2110"/>
      <c r="S2110"/>
    </row>
    <row r="2111" spans="18:19" x14ac:dyDescent="0.25">
      <c r="R2111"/>
      <c r="S2111"/>
    </row>
    <row r="2112" spans="18:19" x14ac:dyDescent="0.25">
      <c r="R2112"/>
      <c r="S2112"/>
    </row>
    <row r="2113" spans="18:19" x14ac:dyDescent="0.25">
      <c r="R2113"/>
      <c r="S2113"/>
    </row>
    <row r="2114" spans="18:19" x14ac:dyDescent="0.25">
      <c r="R2114"/>
      <c r="S2114"/>
    </row>
    <row r="2115" spans="18:19" x14ac:dyDescent="0.25">
      <c r="R2115"/>
      <c r="S2115"/>
    </row>
    <row r="2116" spans="18:19" x14ac:dyDescent="0.25">
      <c r="R2116"/>
      <c r="S2116"/>
    </row>
    <row r="2117" spans="18:19" x14ac:dyDescent="0.25">
      <c r="R2117"/>
      <c r="S2117"/>
    </row>
    <row r="2118" spans="18:19" x14ac:dyDescent="0.25">
      <c r="R2118"/>
      <c r="S2118"/>
    </row>
    <row r="2119" spans="18:19" x14ac:dyDescent="0.25">
      <c r="R2119"/>
      <c r="S2119"/>
    </row>
    <row r="2120" spans="18:19" x14ac:dyDescent="0.25">
      <c r="R2120"/>
      <c r="S2120"/>
    </row>
    <row r="2121" spans="18:19" x14ac:dyDescent="0.25">
      <c r="R2121"/>
      <c r="S2121"/>
    </row>
    <row r="2122" spans="18:19" x14ac:dyDescent="0.25">
      <c r="R2122"/>
      <c r="S2122"/>
    </row>
    <row r="2123" spans="18:19" x14ac:dyDescent="0.25">
      <c r="R2123"/>
      <c r="S2123"/>
    </row>
    <row r="2124" spans="18:19" x14ac:dyDescent="0.25">
      <c r="R2124"/>
      <c r="S2124"/>
    </row>
    <row r="2125" spans="18:19" x14ac:dyDescent="0.25">
      <c r="R2125"/>
      <c r="S2125"/>
    </row>
    <row r="2126" spans="18:19" x14ac:dyDescent="0.25">
      <c r="R2126"/>
      <c r="S2126"/>
    </row>
    <row r="2127" spans="18:19" x14ac:dyDescent="0.25">
      <c r="R2127"/>
      <c r="S2127"/>
    </row>
    <row r="2128" spans="18:19" x14ac:dyDescent="0.25">
      <c r="R2128"/>
      <c r="S2128"/>
    </row>
    <row r="2129" spans="18:19" x14ac:dyDescent="0.25">
      <c r="R2129"/>
      <c r="S2129"/>
    </row>
    <row r="2130" spans="18:19" x14ac:dyDescent="0.25">
      <c r="R2130"/>
      <c r="S2130"/>
    </row>
    <row r="2131" spans="18:19" x14ac:dyDescent="0.25">
      <c r="R2131"/>
      <c r="S2131"/>
    </row>
    <row r="2132" spans="18:19" x14ac:dyDescent="0.25">
      <c r="R2132"/>
      <c r="S2132"/>
    </row>
    <row r="2133" spans="18:19" x14ac:dyDescent="0.25">
      <c r="R2133"/>
      <c r="S2133"/>
    </row>
    <row r="2134" spans="18:19" x14ac:dyDescent="0.25">
      <c r="R2134"/>
      <c r="S2134"/>
    </row>
    <row r="2135" spans="18:19" x14ac:dyDescent="0.25">
      <c r="R2135"/>
      <c r="S2135"/>
    </row>
    <row r="2136" spans="18:19" x14ac:dyDescent="0.25">
      <c r="R2136"/>
      <c r="S2136"/>
    </row>
    <row r="2137" spans="18:19" x14ac:dyDescent="0.25">
      <c r="R2137"/>
      <c r="S2137"/>
    </row>
    <row r="2138" spans="18:19" x14ac:dyDescent="0.25">
      <c r="R2138"/>
      <c r="S2138"/>
    </row>
    <row r="2139" spans="18:19" x14ac:dyDescent="0.25">
      <c r="R2139"/>
      <c r="S2139"/>
    </row>
    <row r="2140" spans="18:19" x14ac:dyDescent="0.25">
      <c r="R2140"/>
      <c r="S2140"/>
    </row>
    <row r="2141" spans="18:19" x14ac:dyDescent="0.25">
      <c r="R2141"/>
      <c r="S2141"/>
    </row>
    <row r="2142" spans="18:19" x14ac:dyDescent="0.25">
      <c r="R2142"/>
      <c r="S2142"/>
    </row>
    <row r="2143" spans="18:19" x14ac:dyDescent="0.25">
      <c r="R2143"/>
      <c r="S2143"/>
    </row>
    <row r="2144" spans="18:19" x14ac:dyDescent="0.25">
      <c r="R2144"/>
      <c r="S2144"/>
    </row>
    <row r="2145" spans="18:19" x14ac:dyDescent="0.25">
      <c r="R2145"/>
      <c r="S2145"/>
    </row>
    <row r="2146" spans="18:19" x14ac:dyDescent="0.25">
      <c r="R2146"/>
      <c r="S2146"/>
    </row>
    <row r="2147" spans="18:19" x14ac:dyDescent="0.25">
      <c r="R2147"/>
      <c r="S2147"/>
    </row>
    <row r="2148" spans="18:19" x14ac:dyDescent="0.25">
      <c r="R2148"/>
      <c r="S2148"/>
    </row>
    <row r="2149" spans="18:19" x14ac:dyDescent="0.25">
      <c r="R2149"/>
      <c r="S2149"/>
    </row>
    <row r="2150" spans="18:19" x14ac:dyDescent="0.25">
      <c r="R2150"/>
      <c r="S2150"/>
    </row>
    <row r="2151" spans="18:19" x14ac:dyDescent="0.25">
      <c r="R2151"/>
      <c r="S2151"/>
    </row>
    <row r="2152" spans="18:19" x14ac:dyDescent="0.25">
      <c r="R2152"/>
      <c r="S2152"/>
    </row>
    <row r="2153" spans="18:19" x14ac:dyDescent="0.25">
      <c r="R2153"/>
      <c r="S2153"/>
    </row>
    <row r="2154" spans="18:19" x14ac:dyDescent="0.25">
      <c r="R2154"/>
      <c r="S2154"/>
    </row>
    <row r="2155" spans="18:19" x14ac:dyDescent="0.25">
      <c r="R2155"/>
      <c r="S2155"/>
    </row>
    <row r="2156" spans="18:19" x14ac:dyDescent="0.25">
      <c r="R2156"/>
      <c r="S2156"/>
    </row>
    <row r="2157" spans="18:19" x14ac:dyDescent="0.25">
      <c r="R2157"/>
      <c r="S2157"/>
    </row>
    <row r="2158" spans="18:19" x14ac:dyDescent="0.25">
      <c r="R2158"/>
      <c r="S2158"/>
    </row>
    <row r="2159" spans="18:19" x14ac:dyDescent="0.25">
      <c r="R2159"/>
      <c r="S2159"/>
    </row>
    <row r="2160" spans="18:19" x14ac:dyDescent="0.25">
      <c r="R2160"/>
      <c r="S2160"/>
    </row>
    <row r="2161" spans="18:19" x14ac:dyDescent="0.25">
      <c r="R2161"/>
      <c r="S2161"/>
    </row>
    <row r="2162" spans="18:19" x14ac:dyDescent="0.25">
      <c r="R2162"/>
      <c r="S2162"/>
    </row>
    <row r="2163" spans="18:19" x14ac:dyDescent="0.25">
      <c r="R2163"/>
      <c r="S2163"/>
    </row>
    <row r="2164" spans="18:19" x14ac:dyDescent="0.25">
      <c r="R2164"/>
      <c r="S2164"/>
    </row>
    <row r="2165" spans="18:19" x14ac:dyDescent="0.25">
      <c r="R2165"/>
      <c r="S2165"/>
    </row>
    <row r="2166" spans="18:19" x14ac:dyDescent="0.25">
      <c r="R2166"/>
      <c r="S2166"/>
    </row>
    <row r="2167" spans="18:19" x14ac:dyDescent="0.25">
      <c r="R2167"/>
      <c r="S2167"/>
    </row>
    <row r="2168" spans="18:19" x14ac:dyDescent="0.25">
      <c r="R2168"/>
      <c r="S2168"/>
    </row>
    <row r="2169" spans="18:19" x14ac:dyDescent="0.25">
      <c r="R2169"/>
      <c r="S2169"/>
    </row>
    <row r="2170" spans="18:19" x14ac:dyDescent="0.25">
      <c r="R2170"/>
      <c r="S2170"/>
    </row>
    <row r="2171" spans="18:19" x14ac:dyDescent="0.25">
      <c r="R2171"/>
      <c r="S2171"/>
    </row>
    <row r="2172" spans="18:19" x14ac:dyDescent="0.25">
      <c r="R2172"/>
      <c r="S2172"/>
    </row>
    <row r="2173" spans="18:19" x14ac:dyDescent="0.25">
      <c r="R2173"/>
      <c r="S2173"/>
    </row>
    <row r="2174" spans="18:19" x14ac:dyDescent="0.25">
      <c r="R2174"/>
      <c r="S2174"/>
    </row>
    <row r="2175" spans="18:19" x14ac:dyDescent="0.25">
      <c r="R2175"/>
      <c r="S2175"/>
    </row>
    <row r="2176" spans="18:19" x14ac:dyDescent="0.25">
      <c r="R2176"/>
      <c r="S2176"/>
    </row>
    <row r="2177" spans="18:19" x14ac:dyDescent="0.25">
      <c r="R2177"/>
      <c r="S2177"/>
    </row>
    <row r="2178" spans="18:19" x14ac:dyDescent="0.25">
      <c r="R2178"/>
      <c r="S2178"/>
    </row>
    <row r="2179" spans="18:19" x14ac:dyDescent="0.25">
      <c r="R2179"/>
      <c r="S2179"/>
    </row>
    <row r="2180" spans="18:19" x14ac:dyDescent="0.25">
      <c r="R2180"/>
      <c r="S2180"/>
    </row>
    <row r="2181" spans="18:19" x14ac:dyDescent="0.25">
      <c r="R2181"/>
      <c r="S2181"/>
    </row>
    <row r="2182" spans="18:19" x14ac:dyDescent="0.25">
      <c r="R2182"/>
      <c r="S2182"/>
    </row>
    <row r="2183" spans="18:19" x14ac:dyDescent="0.25">
      <c r="R2183"/>
      <c r="S2183"/>
    </row>
    <row r="2184" spans="18:19" x14ac:dyDescent="0.25">
      <c r="R2184"/>
      <c r="S2184"/>
    </row>
    <row r="2185" spans="18:19" x14ac:dyDescent="0.25">
      <c r="R2185"/>
      <c r="S2185"/>
    </row>
    <row r="2186" spans="18:19" x14ac:dyDescent="0.25">
      <c r="R2186"/>
      <c r="S2186"/>
    </row>
    <row r="2187" spans="18:19" x14ac:dyDescent="0.25">
      <c r="R2187"/>
      <c r="S2187"/>
    </row>
    <row r="2188" spans="18:19" x14ac:dyDescent="0.25">
      <c r="R2188"/>
      <c r="S2188"/>
    </row>
    <row r="2189" spans="18:19" x14ac:dyDescent="0.25">
      <c r="R2189"/>
      <c r="S2189"/>
    </row>
    <row r="2190" spans="18:19" x14ac:dyDescent="0.25">
      <c r="R2190"/>
      <c r="S2190"/>
    </row>
    <row r="2191" spans="18:19" x14ac:dyDescent="0.25">
      <c r="R2191"/>
      <c r="S2191"/>
    </row>
    <row r="2192" spans="18:19" x14ac:dyDescent="0.25">
      <c r="R2192"/>
      <c r="S2192"/>
    </row>
    <row r="2193" spans="18:19" x14ac:dyDescent="0.25">
      <c r="R2193"/>
      <c r="S2193"/>
    </row>
    <row r="2194" spans="18:19" x14ac:dyDescent="0.25">
      <c r="R2194"/>
      <c r="S2194"/>
    </row>
    <row r="2195" spans="18:19" x14ac:dyDescent="0.25">
      <c r="R2195"/>
      <c r="S2195"/>
    </row>
    <row r="2196" spans="18:19" x14ac:dyDescent="0.25">
      <c r="R2196"/>
      <c r="S2196"/>
    </row>
    <row r="2197" spans="18:19" x14ac:dyDescent="0.25">
      <c r="R2197"/>
      <c r="S2197"/>
    </row>
    <row r="2198" spans="18:19" x14ac:dyDescent="0.25">
      <c r="R2198"/>
      <c r="S2198"/>
    </row>
    <row r="2199" spans="18:19" x14ac:dyDescent="0.25">
      <c r="R2199"/>
      <c r="S2199"/>
    </row>
    <row r="2200" spans="18:19" x14ac:dyDescent="0.25">
      <c r="R2200"/>
      <c r="S2200"/>
    </row>
    <row r="2201" spans="18:19" x14ac:dyDescent="0.25">
      <c r="R2201"/>
      <c r="S2201"/>
    </row>
    <row r="2202" spans="18:19" x14ac:dyDescent="0.25">
      <c r="R2202"/>
      <c r="S2202"/>
    </row>
    <row r="2203" spans="18:19" x14ac:dyDescent="0.25">
      <c r="R2203"/>
      <c r="S2203"/>
    </row>
    <row r="2204" spans="18:19" x14ac:dyDescent="0.25">
      <c r="R2204"/>
      <c r="S2204"/>
    </row>
    <row r="2205" spans="18:19" x14ac:dyDescent="0.25">
      <c r="R2205"/>
      <c r="S2205"/>
    </row>
    <row r="2206" spans="18:19" x14ac:dyDescent="0.25">
      <c r="R2206"/>
      <c r="S2206"/>
    </row>
    <row r="2207" spans="18:19" x14ac:dyDescent="0.25">
      <c r="R2207"/>
      <c r="S2207"/>
    </row>
    <row r="2208" spans="18:19" x14ac:dyDescent="0.25">
      <c r="R2208"/>
      <c r="S2208"/>
    </row>
    <row r="2209" spans="18:19" x14ac:dyDescent="0.25">
      <c r="R2209"/>
      <c r="S2209"/>
    </row>
    <row r="2210" spans="18:19" x14ac:dyDescent="0.25">
      <c r="R2210"/>
      <c r="S2210"/>
    </row>
    <row r="2211" spans="18:19" x14ac:dyDescent="0.25">
      <c r="R2211"/>
      <c r="S2211"/>
    </row>
    <row r="2212" spans="18:19" x14ac:dyDescent="0.25">
      <c r="R2212"/>
      <c r="S2212"/>
    </row>
    <row r="2213" spans="18:19" x14ac:dyDescent="0.25">
      <c r="R2213"/>
      <c r="S2213"/>
    </row>
    <row r="2214" spans="18:19" x14ac:dyDescent="0.25">
      <c r="R2214"/>
      <c r="S2214"/>
    </row>
    <row r="2215" spans="18:19" x14ac:dyDescent="0.25">
      <c r="R2215"/>
      <c r="S2215"/>
    </row>
    <row r="2216" spans="18:19" x14ac:dyDescent="0.25">
      <c r="R2216"/>
      <c r="S2216"/>
    </row>
    <row r="2217" spans="18:19" x14ac:dyDescent="0.25">
      <c r="R2217"/>
      <c r="S2217"/>
    </row>
    <row r="2218" spans="18:19" x14ac:dyDescent="0.25">
      <c r="R2218"/>
      <c r="S2218"/>
    </row>
    <row r="2219" spans="18:19" x14ac:dyDescent="0.25">
      <c r="R2219"/>
      <c r="S2219"/>
    </row>
    <row r="2220" spans="18:19" x14ac:dyDescent="0.25">
      <c r="R2220"/>
      <c r="S2220"/>
    </row>
    <row r="2221" spans="18:19" x14ac:dyDescent="0.25">
      <c r="R2221"/>
      <c r="S2221"/>
    </row>
    <row r="2222" spans="18:19" x14ac:dyDescent="0.25">
      <c r="R2222"/>
      <c r="S2222"/>
    </row>
    <row r="2223" spans="18:19" x14ac:dyDescent="0.25">
      <c r="R2223"/>
      <c r="S2223"/>
    </row>
    <row r="2224" spans="18:19" x14ac:dyDescent="0.25">
      <c r="R2224"/>
      <c r="S2224"/>
    </row>
    <row r="2225" spans="18:19" x14ac:dyDescent="0.25">
      <c r="R2225"/>
      <c r="S2225"/>
    </row>
    <row r="2226" spans="18:19" x14ac:dyDescent="0.25">
      <c r="R2226"/>
      <c r="S2226"/>
    </row>
    <row r="2227" spans="18:19" x14ac:dyDescent="0.25">
      <c r="R2227"/>
      <c r="S2227"/>
    </row>
    <row r="2228" spans="18:19" x14ac:dyDescent="0.25">
      <c r="R2228"/>
      <c r="S2228"/>
    </row>
    <row r="2229" spans="18:19" x14ac:dyDescent="0.25">
      <c r="R2229"/>
      <c r="S2229"/>
    </row>
    <row r="2230" spans="18:19" x14ac:dyDescent="0.25">
      <c r="R2230"/>
      <c r="S2230"/>
    </row>
    <row r="2231" spans="18:19" x14ac:dyDescent="0.25">
      <c r="R2231"/>
      <c r="S2231"/>
    </row>
    <row r="2232" spans="18:19" x14ac:dyDescent="0.25">
      <c r="R2232"/>
      <c r="S2232"/>
    </row>
    <row r="2233" spans="18:19" x14ac:dyDescent="0.25">
      <c r="R2233"/>
      <c r="S2233"/>
    </row>
    <row r="2234" spans="18:19" x14ac:dyDescent="0.25">
      <c r="R2234"/>
      <c r="S2234"/>
    </row>
    <row r="2235" spans="18:19" x14ac:dyDescent="0.25">
      <c r="R2235"/>
      <c r="S2235"/>
    </row>
    <row r="2236" spans="18:19" x14ac:dyDescent="0.25">
      <c r="R2236"/>
      <c r="S2236"/>
    </row>
    <row r="2237" spans="18:19" x14ac:dyDescent="0.25">
      <c r="R2237"/>
      <c r="S2237"/>
    </row>
    <row r="2238" spans="18:19" x14ac:dyDescent="0.25">
      <c r="R2238"/>
      <c r="S2238"/>
    </row>
    <row r="2239" spans="18:19" x14ac:dyDescent="0.25">
      <c r="R2239"/>
      <c r="S2239"/>
    </row>
    <row r="2240" spans="18:19" x14ac:dyDescent="0.25">
      <c r="R2240"/>
      <c r="S2240"/>
    </row>
    <row r="2241" spans="18:19" x14ac:dyDescent="0.25">
      <c r="R2241"/>
      <c r="S2241"/>
    </row>
    <row r="2242" spans="18:19" x14ac:dyDescent="0.25">
      <c r="R2242"/>
      <c r="S2242"/>
    </row>
    <row r="2243" spans="18:19" x14ac:dyDescent="0.25">
      <c r="R2243"/>
      <c r="S2243"/>
    </row>
    <row r="2244" spans="18:19" x14ac:dyDescent="0.25">
      <c r="R2244"/>
      <c r="S2244"/>
    </row>
    <row r="2245" spans="18:19" x14ac:dyDescent="0.25">
      <c r="R2245"/>
      <c r="S2245"/>
    </row>
    <row r="2246" spans="18:19" x14ac:dyDescent="0.25">
      <c r="R2246"/>
      <c r="S2246"/>
    </row>
    <row r="2247" spans="18:19" x14ac:dyDescent="0.25">
      <c r="R2247"/>
      <c r="S2247"/>
    </row>
    <row r="2248" spans="18:19" x14ac:dyDescent="0.25">
      <c r="R2248"/>
      <c r="S2248"/>
    </row>
    <row r="2249" spans="18:19" x14ac:dyDescent="0.25">
      <c r="R2249"/>
      <c r="S2249"/>
    </row>
    <row r="2250" spans="18:19" x14ac:dyDescent="0.25">
      <c r="R2250"/>
      <c r="S2250"/>
    </row>
    <row r="2251" spans="18:19" x14ac:dyDescent="0.25">
      <c r="R2251"/>
      <c r="S2251"/>
    </row>
    <row r="2252" spans="18:19" x14ac:dyDescent="0.25">
      <c r="R2252"/>
      <c r="S2252"/>
    </row>
    <row r="2253" spans="18:19" x14ac:dyDescent="0.25">
      <c r="R2253"/>
      <c r="S2253"/>
    </row>
    <row r="2254" spans="18:19" x14ac:dyDescent="0.25">
      <c r="R2254"/>
      <c r="S2254"/>
    </row>
    <row r="2255" spans="18:19" x14ac:dyDescent="0.25">
      <c r="R2255"/>
      <c r="S2255"/>
    </row>
    <row r="2256" spans="18:19" x14ac:dyDescent="0.25">
      <c r="R2256"/>
      <c r="S2256"/>
    </row>
    <row r="2257" spans="18:19" x14ac:dyDescent="0.25">
      <c r="R2257"/>
      <c r="S2257"/>
    </row>
    <row r="2258" spans="18:19" x14ac:dyDescent="0.25">
      <c r="R2258"/>
      <c r="S2258"/>
    </row>
    <row r="2259" spans="18:19" x14ac:dyDescent="0.25">
      <c r="R2259"/>
      <c r="S2259"/>
    </row>
    <row r="2260" spans="18:19" x14ac:dyDescent="0.25">
      <c r="R2260"/>
      <c r="S2260"/>
    </row>
    <row r="2261" spans="18:19" x14ac:dyDescent="0.25">
      <c r="R2261"/>
      <c r="S2261"/>
    </row>
    <row r="2262" spans="18:19" x14ac:dyDescent="0.25">
      <c r="R2262"/>
      <c r="S2262"/>
    </row>
    <row r="2263" spans="18:19" x14ac:dyDescent="0.25">
      <c r="R2263"/>
      <c r="S2263"/>
    </row>
    <row r="2264" spans="18:19" x14ac:dyDescent="0.25">
      <c r="R2264"/>
      <c r="S2264"/>
    </row>
    <row r="2265" spans="18:19" x14ac:dyDescent="0.25">
      <c r="R2265"/>
      <c r="S2265"/>
    </row>
    <row r="2266" spans="18:19" x14ac:dyDescent="0.25">
      <c r="R2266"/>
      <c r="S2266"/>
    </row>
    <row r="2267" spans="18:19" x14ac:dyDescent="0.25">
      <c r="R2267"/>
      <c r="S2267"/>
    </row>
    <row r="2268" spans="18:19" x14ac:dyDescent="0.25">
      <c r="R2268"/>
      <c r="S2268"/>
    </row>
    <row r="2269" spans="18:19" x14ac:dyDescent="0.25">
      <c r="R2269"/>
      <c r="S2269"/>
    </row>
    <row r="2270" spans="18:19" x14ac:dyDescent="0.25">
      <c r="R2270"/>
      <c r="S2270"/>
    </row>
    <row r="2271" spans="18:19" x14ac:dyDescent="0.25">
      <c r="R2271"/>
      <c r="S2271"/>
    </row>
    <row r="2272" spans="18:19" x14ac:dyDescent="0.25">
      <c r="R2272"/>
      <c r="S2272"/>
    </row>
    <row r="2273" spans="18:19" x14ac:dyDescent="0.25">
      <c r="R2273"/>
      <c r="S2273"/>
    </row>
    <row r="2274" spans="18:19" x14ac:dyDescent="0.25">
      <c r="R2274"/>
      <c r="S2274"/>
    </row>
    <row r="2275" spans="18:19" x14ac:dyDescent="0.25">
      <c r="R2275"/>
      <c r="S2275"/>
    </row>
    <row r="2276" spans="18:19" x14ac:dyDescent="0.25">
      <c r="R2276"/>
      <c r="S2276"/>
    </row>
    <row r="2277" spans="18:19" x14ac:dyDescent="0.25">
      <c r="R2277"/>
      <c r="S2277"/>
    </row>
    <row r="2278" spans="18:19" x14ac:dyDescent="0.25">
      <c r="R2278"/>
      <c r="S2278"/>
    </row>
    <row r="2279" spans="18:19" x14ac:dyDescent="0.25">
      <c r="R2279"/>
      <c r="S2279"/>
    </row>
    <row r="2280" spans="18:19" x14ac:dyDescent="0.25">
      <c r="R2280"/>
      <c r="S2280"/>
    </row>
    <row r="2281" spans="18:19" x14ac:dyDescent="0.25">
      <c r="R2281"/>
      <c r="S2281"/>
    </row>
    <row r="2282" spans="18:19" x14ac:dyDescent="0.25">
      <c r="R2282"/>
      <c r="S2282"/>
    </row>
    <row r="2283" spans="18:19" x14ac:dyDescent="0.25">
      <c r="R2283"/>
      <c r="S2283"/>
    </row>
    <row r="2284" spans="18:19" x14ac:dyDescent="0.25">
      <c r="R2284"/>
      <c r="S2284"/>
    </row>
    <row r="2285" spans="18:19" x14ac:dyDescent="0.25">
      <c r="R2285"/>
      <c r="S2285"/>
    </row>
    <row r="2286" spans="18:19" x14ac:dyDescent="0.25">
      <c r="R2286"/>
      <c r="S2286"/>
    </row>
    <row r="2287" spans="18:19" x14ac:dyDescent="0.25">
      <c r="R2287"/>
      <c r="S2287"/>
    </row>
    <row r="2288" spans="18:19" x14ac:dyDescent="0.25">
      <c r="R2288"/>
      <c r="S2288"/>
    </row>
    <row r="2289" spans="18:19" x14ac:dyDescent="0.25">
      <c r="R2289"/>
      <c r="S2289"/>
    </row>
    <row r="2290" spans="18:19" x14ac:dyDescent="0.25">
      <c r="R2290"/>
      <c r="S2290"/>
    </row>
    <row r="2291" spans="18:19" x14ac:dyDescent="0.25">
      <c r="R2291"/>
      <c r="S2291"/>
    </row>
    <row r="2292" spans="18:19" x14ac:dyDescent="0.25">
      <c r="R2292"/>
      <c r="S2292"/>
    </row>
    <row r="2293" spans="18:19" x14ac:dyDescent="0.25">
      <c r="R2293"/>
      <c r="S2293"/>
    </row>
    <row r="2294" spans="18:19" x14ac:dyDescent="0.25">
      <c r="R2294"/>
      <c r="S2294"/>
    </row>
    <row r="2295" spans="18:19" x14ac:dyDescent="0.25">
      <c r="R2295"/>
      <c r="S2295"/>
    </row>
    <row r="2296" spans="18:19" x14ac:dyDescent="0.25">
      <c r="R2296"/>
      <c r="S2296"/>
    </row>
    <row r="2297" spans="18:19" x14ac:dyDescent="0.25">
      <c r="R2297"/>
      <c r="S2297"/>
    </row>
    <row r="2298" spans="18:19" x14ac:dyDescent="0.25">
      <c r="R2298"/>
      <c r="S2298"/>
    </row>
    <row r="2299" spans="18:19" x14ac:dyDescent="0.25">
      <c r="R2299"/>
      <c r="S2299"/>
    </row>
    <row r="2300" spans="18:19" x14ac:dyDescent="0.25">
      <c r="R2300"/>
      <c r="S2300"/>
    </row>
    <row r="2301" spans="18:19" x14ac:dyDescent="0.25">
      <c r="R2301"/>
      <c r="S2301"/>
    </row>
    <row r="2302" spans="18:19" x14ac:dyDescent="0.25">
      <c r="R2302"/>
      <c r="S2302"/>
    </row>
    <row r="2303" spans="18:19" x14ac:dyDescent="0.25">
      <c r="R2303"/>
      <c r="S2303"/>
    </row>
    <row r="2304" spans="18:19" x14ac:dyDescent="0.25">
      <c r="R2304"/>
      <c r="S2304"/>
    </row>
    <row r="2305" spans="18:19" x14ac:dyDescent="0.25">
      <c r="R2305"/>
      <c r="S2305"/>
    </row>
    <row r="2306" spans="18:19" x14ac:dyDescent="0.25">
      <c r="R2306"/>
      <c r="S2306"/>
    </row>
    <row r="2307" spans="18:19" x14ac:dyDescent="0.25">
      <c r="R2307"/>
      <c r="S2307"/>
    </row>
    <row r="2308" spans="18:19" x14ac:dyDescent="0.25">
      <c r="R2308"/>
      <c r="S2308"/>
    </row>
    <row r="2309" spans="18:19" x14ac:dyDescent="0.25">
      <c r="R2309"/>
      <c r="S2309"/>
    </row>
    <row r="2310" spans="18:19" x14ac:dyDescent="0.25">
      <c r="R2310"/>
      <c r="S2310"/>
    </row>
    <row r="2311" spans="18:19" x14ac:dyDescent="0.25">
      <c r="R2311"/>
      <c r="S2311"/>
    </row>
    <row r="2312" spans="18:19" x14ac:dyDescent="0.25">
      <c r="R2312"/>
      <c r="S2312"/>
    </row>
    <row r="2313" spans="18:19" x14ac:dyDescent="0.25">
      <c r="R2313"/>
      <c r="S2313"/>
    </row>
    <row r="2314" spans="18:19" x14ac:dyDescent="0.25">
      <c r="R2314"/>
      <c r="S2314"/>
    </row>
    <row r="2315" spans="18:19" x14ac:dyDescent="0.25">
      <c r="R2315"/>
      <c r="S2315"/>
    </row>
    <row r="2316" spans="18:19" x14ac:dyDescent="0.25">
      <c r="R2316"/>
      <c r="S2316"/>
    </row>
    <row r="2317" spans="18:19" x14ac:dyDescent="0.25">
      <c r="R2317"/>
      <c r="S2317"/>
    </row>
    <row r="2318" spans="18:19" x14ac:dyDescent="0.25">
      <c r="R2318"/>
      <c r="S2318"/>
    </row>
    <row r="2319" spans="18:19" x14ac:dyDescent="0.25">
      <c r="R2319"/>
      <c r="S2319"/>
    </row>
    <row r="2320" spans="18:19" x14ac:dyDescent="0.25">
      <c r="R2320"/>
      <c r="S2320"/>
    </row>
    <row r="2321" spans="18:19" x14ac:dyDescent="0.25">
      <c r="R2321"/>
      <c r="S2321"/>
    </row>
    <row r="2322" spans="18:19" x14ac:dyDescent="0.25">
      <c r="R2322"/>
      <c r="S2322"/>
    </row>
    <row r="2323" spans="18:19" x14ac:dyDescent="0.25">
      <c r="R2323"/>
      <c r="S2323"/>
    </row>
    <row r="2324" spans="18:19" x14ac:dyDescent="0.25">
      <c r="R2324"/>
      <c r="S2324"/>
    </row>
    <row r="2325" spans="18:19" x14ac:dyDescent="0.25">
      <c r="R2325"/>
      <c r="S2325"/>
    </row>
    <row r="2326" spans="18:19" x14ac:dyDescent="0.25">
      <c r="R2326"/>
      <c r="S2326"/>
    </row>
    <row r="2327" spans="18:19" x14ac:dyDescent="0.25">
      <c r="R2327"/>
      <c r="S2327"/>
    </row>
    <row r="2328" spans="18:19" x14ac:dyDescent="0.25">
      <c r="R2328"/>
      <c r="S2328"/>
    </row>
    <row r="2329" spans="18:19" x14ac:dyDescent="0.25">
      <c r="R2329"/>
      <c r="S2329"/>
    </row>
    <row r="2330" spans="18:19" x14ac:dyDescent="0.25">
      <c r="R2330"/>
      <c r="S2330"/>
    </row>
    <row r="2331" spans="18:19" x14ac:dyDescent="0.25">
      <c r="R2331"/>
      <c r="S2331"/>
    </row>
    <row r="2332" spans="18:19" x14ac:dyDescent="0.25">
      <c r="R2332"/>
      <c r="S2332"/>
    </row>
    <row r="2333" spans="18:19" x14ac:dyDescent="0.25">
      <c r="R2333"/>
      <c r="S2333"/>
    </row>
    <row r="2334" spans="18:19" x14ac:dyDescent="0.25">
      <c r="R2334"/>
      <c r="S2334"/>
    </row>
    <row r="2335" spans="18:19" x14ac:dyDescent="0.25">
      <c r="R2335"/>
      <c r="S2335"/>
    </row>
    <row r="2336" spans="18:19" x14ac:dyDescent="0.25">
      <c r="R2336"/>
      <c r="S2336"/>
    </row>
    <row r="2337" spans="18:19" x14ac:dyDescent="0.25">
      <c r="R2337"/>
      <c r="S2337"/>
    </row>
    <row r="2338" spans="18:19" x14ac:dyDescent="0.25">
      <c r="R2338"/>
      <c r="S2338"/>
    </row>
    <row r="2339" spans="18:19" x14ac:dyDescent="0.25">
      <c r="R2339"/>
      <c r="S2339"/>
    </row>
    <row r="2340" spans="18:19" x14ac:dyDescent="0.25">
      <c r="R2340"/>
      <c r="S2340"/>
    </row>
    <row r="2341" spans="18:19" x14ac:dyDescent="0.25">
      <c r="R2341"/>
      <c r="S2341"/>
    </row>
    <row r="2342" spans="18:19" x14ac:dyDescent="0.25">
      <c r="R2342"/>
      <c r="S2342"/>
    </row>
    <row r="2343" spans="18:19" x14ac:dyDescent="0.25">
      <c r="R2343"/>
      <c r="S2343"/>
    </row>
    <row r="2344" spans="18:19" x14ac:dyDescent="0.25">
      <c r="R2344"/>
      <c r="S2344"/>
    </row>
    <row r="2345" spans="18:19" x14ac:dyDescent="0.25">
      <c r="R2345"/>
      <c r="S2345"/>
    </row>
    <row r="2346" spans="18:19" x14ac:dyDescent="0.25">
      <c r="R2346"/>
      <c r="S2346"/>
    </row>
    <row r="2347" spans="18:19" x14ac:dyDescent="0.25">
      <c r="R2347"/>
      <c r="S2347"/>
    </row>
    <row r="2348" spans="18:19" x14ac:dyDescent="0.25">
      <c r="R2348"/>
      <c r="S2348"/>
    </row>
    <row r="2349" spans="18:19" x14ac:dyDescent="0.25">
      <c r="R2349"/>
      <c r="S2349"/>
    </row>
    <row r="2350" spans="18:19" x14ac:dyDescent="0.25">
      <c r="R2350"/>
      <c r="S2350"/>
    </row>
    <row r="2351" spans="18:19" x14ac:dyDescent="0.25">
      <c r="R2351"/>
      <c r="S2351"/>
    </row>
    <row r="2352" spans="18:19" x14ac:dyDescent="0.25">
      <c r="R2352"/>
      <c r="S2352"/>
    </row>
    <row r="2353" spans="18:19" x14ac:dyDescent="0.25">
      <c r="R2353"/>
      <c r="S2353"/>
    </row>
    <row r="2354" spans="18:19" x14ac:dyDescent="0.25">
      <c r="R2354"/>
      <c r="S2354"/>
    </row>
    <row r="2355" spans="18:19" x14ac:dyDescent="0.25">
      <c r="R2355"/>
      <c r="S2355"/>
    </row>
    <row r="2356" spans="18:19" x14ac:dyDescent="0.25">
      <c r="R2356"/>
      <c r="S2356"/>
    </row>
    <row r="2357" spans="18:19" x14ac:dyDescent="0.25">
      <c r="R2357"/>
      <c r="S2357"/>
    </row>
    <row r="2358" spans="18:19" x14ac:dyDescent="0.25">
      <c r="R2358"/>
      <c r="S2358"/>
    </row>
    <row r="2359" spans="18:19" x14ac:dyDescent="0.25">
      <c r="R2359"/>
      <c r="S2359"/>
    </row>
    <row r="2360" spans="18:19" x14ac:dyDescent="0.25">
      <c r="R2360"/>
      <c r="S2360"/>
    </row>
    <row r="2361" spans="18:19" x14ac:dyDescent="0.25">
      <c r="R2361"/>
      <c r="S2361"/>
    </row>
    <row r="2362" spans="18:19" x14ac:dyDescent="0.25">
      <c r="R2362"/>
      <c r="S2362"/>
    </row>
    <row r="2363" spans="18:19" x14ac:dyDescent="0.25">
      <c r="R2363"/>
      <c r="S2363"/>
    </row>
    <row r="2364" spans="18:19" x14ac:dyDescent="0.25">
      <c r="R2364"/>
      <c r="S2364"/>
    </row>
    <row r="2365" spans="18:19" x14ac:dyDescent="0.25">
      <c r="R2365"/>
      <c r="S2365"/>
    </row>
    <row r="2366" spans="18:19" x14ac:dyDescent="0.25">
      <c r="R2366"/>
      <c r="S2366"/>
    </row>
    <row r="2367" spans="18:19" x14ac:dyDescent="0.25">
      <c r="R2367"/>
      <c r="S2367"/>
    </row>
    <row r="2368" spans="18:19" x14ac:dyDescent="0.25">
      <c r="R2368"/>
      <c r="S2368"/>
    </row>
    <row r="2369" spans="18:19" x14ac:dyDescent="0.25">
      <c r="R2369"/>
      <c r="S2369"/>
    </row>
    <row r="2370" spans="18:19" x14ac:dyDescent="0.25">
      <c r="R2370"/>
      <c r="S2370"/>
    </row>
    <row r="2371" spans="18:19" x14ac:dyDescent="0.25">
      <c r="R2371"/>
      <c r="S2371"/>
    </row>
    <row r="2372" spans="18:19" x14ac:dyDescent="0.25">
      <c r="R2372"/>
      <c r="S2372"/>
    </row>
    <row r="2373" spans="18:19" x14ac:dyDescent="0.25">
      <c r="R2373"/>
      <c r="S2373"/>
    </row>
    <row r="2374" spans="18:19" x14ac:dyDescent="0.25">
      <c r="R2374"/>
      <c r="S2374"/>
    </row>
    <row r="2375" spans="18:19" x14ac:dyDescent="0.25">
      <c r="R2375"/>
      <c r="S2375"/>
    </row>
    <row r="2376" spans="18:19" x14ac:dyDescent="0.25">
      <c r="R2376"/>
      <c r="S2376"/>
    </row>
    <row r="2377" spans="18:19" x14ac:dyDescent="0.25">
      <c r="R2377"/>
      <c r="S2377"/>
    </row>
    <row r="2378" spans="18:19" x14ac:dyDescent="0.25">
      <c r="R2378"/>
      <c r="S2378"/>
    </row>
    <row r="2379" spans="18:19" x14ac:dyDescent="0.25">
      <c r="R2379"/>
      <c r="S2379"/>
    </row>
    <row r="2380" spans="18:19" x14ac:dyDescent="0.25">
      <c r="R2380"/>
      <c r="S2380"/>
    </row>
    <row r="2381" spans="18:19" x14ac:dyDescent="0.25">
      <c r="R2381"/>
      <c r="S2381"/>
    </row>
    <row r="2382" spans="18:19" x14ac:dyDescent="0.25">
      <c r="R2382"/>
      <c r="S2382"/>
    </row>
    <row r="2383" spans="18:19" x14ac:dyDescent="0.25">
      <c r="R2383"/>
      <c r="S2383"/>
    </row>
    <row r="2384" spans="18:19" x14ac:dyDescent="0.25">
      <c r="R2384"/>
      <c r="S2384"/>
    </row>
    <row r="2385" spans="18:19" x14ac:dyDescent="0.25">
      <c r="R2385"/>
      <c r="S2385"/>
    </row>
    <row r="2386" spans="18:19" x14ac:dyDescent="0.25">
      <c r="R2386"/>
      <c r="S2386"/>
    </row>
    <row r="2387" spans="18:19" x14ac:dyDescent="0.25">
      <c r="R2387"/>
      <c r="S2387"/>
    </row>
    <row r="2388" spans="18:19" x14ac:dyDescent="0.25">
      <c r="R2388"/>
      <c r="S2388"/>
    </row>
    <row r="2389" spans="18:19" x14ac:dyDescent="0.25">
      <c r="R2389"/>
      <c r="S2389"/>
    </row>
    <row r="2390" spans="18:19" x14ac:dyDescent="0.25">
      <c r="R2390"/>
      <c r="S2390"/>
    </row>
    <row r="2391" spans="18:19" x14ac:dyDescent="0.25">
      <c r="R2391"/>
      <c r="S2391"/>
    </row>
    <row r="2392" spans="18:19" x14ac:dyDescent="0.25">
      <c r="R2392"/>
      <c r="S2392"/>
    </row>
    <row r="2393" spans="18:19" x14ac:dyDescent="0.25">
      <c r="R2393"/>
      <c r="S2393"/>
    </row>
    <row r="2394" spans="18:19" x14ac:dyDescent="0.25">
      <c r="R2394"/>
      <c r="S2394"/>
    </row>
    <row r="2395" spans="18:19" x14ac:dyDescent="0.25">
      <c r="R2395"/>
      <c r="S2395"/>
    </row>
    <row r="2396" spans="18:19" x14ac:dyDescent="0.25">
      <c r="R2396"/>
      <c r="S2396"/>
    </row>
    <row r="2397" spans="18:19" x14ac:dyDescent="0.25">
      <c r="R2397"/>
      <c r="S2397"/>
    </row>
    <row r="2398" spans="18:19" x14ac:dyDescent="0.25">
      <c r="R2398"/>
      <c r="S2398"/>
    </row>
    <row r="2399" spans="18:19" x14ac:dyDescent="0.25">
      <c r="R2399"/>
      <c r="S2399"/>
    </row>
    <row r="2400" spans="18:19" x14ac:dyDescent="0.25">
      <c r="R2400"/>
      <c r="S2400"/>
    </row>
    <row r="2401" spans="18:19" x14ac:dyDescent="0.25">
      <c r="R2401"/>
      <c r="S2401"/>
    </row>
    <row r="2402" spans="18:19" x14ac:dyDescent="0.25">
      <c r="R2402"/>
      <c r="S2402"/>
    </row>
    <row r="2403" spans="18:19" x14ac:dyDescent="0.25">
      <c r="R2403"/>
      <c r="S2403"/>
    </row>
    <row r="2404" spans="18:19" x14ac:dyDescent="0.25">
      <c r="R2404"/>
      <c r="S2404"/>
    </row>
    <row r="2405" spans="18:19" x14ac:dyDescent="0.25">
      <c r="R2405"/>
      <c r="S2405"/>
    </row>
    <row r="2406" spans="18:19" x14ac:dyDescent="0.25">
      <c r="R2406"/>
      <c r="S2406"/>
    </row>
    <row r="2407" spans="18:19" x14ac:dyDescent="0.25">
      <c r="R2407"/>
      <c r="S2407"/>
    </row>
    <row r="2408" spans="18:19" x14ac:dyDescent="0.25">
      <c r="R2408"/>
      <c r="S2408"/>
    </row>
    <row r="2409" spans="18:19" x14ac:dyDescent="0.25">
      <c r="R2409"/>
      <c r="S2409"/>
    </row>
    <row r="2410" spans="18:19" x14ac:dyDescent="0.25">
      <c r="R2410"/>
      <c r="S2410"/>
    </row>
    <row r="2411" spans="18:19" x14ac:dyDescent="0.25">
      <c r="R2411"/>
      <c r="S2411"/>
    </row>
    <row r="2412" spans="18:19" x14ac:dyDescent="0.25">
      <c r="R2412"/>
      <c r="S2412"/>
    </row>
    <row r="2413" spans="18:19" x14ac:dyDescent="0.25">
      <c r="R2413"/>
      <c r="S2413"/>
    </row>
    <row r="2414" spans="18:19" x14ac:dyDescent="0.25">
      <c r="R2414"/>
      <c r="S2414"/>
    </row>
    <row r="2415" spans="18:19" x14ac:dyDescent="0.25">
      <c r="R2415"/>
      <c r="S2415"/>
    </row>
    <row r="2416" spans="18:19" x14ac:dyDescent="0.25">
      <c r="R2416"/>
      <c r="S2416"/>
    </row>
    <row r="2417" spans="18:19" x14ac:dyDescent="0.25">
      <c r="R2417"/>
      <c r="S2417"/>
    </row>
    <row r="2418" spans="18:19" x14ac:dyDescent="0.25">
      <c r="R2418"/>
      <c r="S2418"/>
    </row>
    <row r="2419" spans="18:19" x14ac:dyDescent="0.25">
      <c r="R2419"/>
      <c r="S2419"/>
    </row>
    <row r="2420" spans="18:19" x14ac:dyDescent="0.25">
      <c r="R2420"/>
      <c r="S2420"/>
    </row>
    <row r="2421" spans="18:19" x14ac:dyDescent="0.25">
      <c r="R2421"/>
      <c r="S2421"/>
    </row>
    <row r="2422" spans="18:19" x14ac:dyDescent="0.25">
      <c r="R2422"/>
      <c r="S2422"/>
    </row>
    <row r="2423" spans="18:19" x14ac:dyDescent="0.25">
      <c r="R2423"/>
      <c r="S2423"/>
    </row>
    <row r="2424" spans="18:19" x14ac:dyDescent="0.25">
      <c r="R2424"/>
      <c r="S2424"/>
    </row>
    <row r="2425" spans="18:19" x14ac:dyDescent="0.25">
      <c r="R2425"/>
      <c r="S2425"/>
    </row>
    <row r="2426" spans="18:19" x14ac:dyDescent="0.25">
      <c r="R2426"/>
      <c r="S2426"/>
    </row>
    <row r="2427" spans="18:19" x14ac:dyDescent="0.25">
      <c r="R2427"/>
      <c r="S2427"/>
    </row>
    <row r="2428" spans="18:19" x14ac:dyDescent="0.25">
      <c r="R2428"/>
      <c r="S2428"/>
    </row>
    <row r="2429" spans="18:19" x14ac:dyDescent="0.25">
      <c r="R2429"/>
      <c r="S2429"/>
    </row>
    <row r="2430" spans="18:19" x14ac:dyDescent="0.25">
      <c r="R2430"/>
      <c r="S2430"/>
    </row>
    <row r="2431" spans="18:19" x14ac:dyDescent="0.25">
      <c r="R2431"/>
      <c r="S2431"/>
    </row>
    <row r="2432" spans="18:19" x14ac:dyDescent="0.25">
      <c r="R2432"/>
      <c r="S2432"/>
    </row>
    <row r="2433" spans="18:19" x14ac:dyDescent="0.25">
      <c r="R2433"/>
      <c r="S2433"/>
    </row>
    <row r="2434" spans="18:19" x14ac:dyDescent="0.25">
      <c r="R2434"/>
      <c r="S2434"/>
    </row>
    <row r="2435" spans="18:19" x14ac:dyDescent="0.25">
      <c r="R2435"/>
      <c r="S2435"/>
    </row>
    <row r="2436" spans="18:19" x14ac:dyDescent="0.25">
      <c r="R2436"/>
      <c r="S2436"/>
    </row>
    <row r="2437" spans="18:19" x14ac:dyDescent="0.25">
      <c r="R2437"/>
      <c r="S2437"/>
    </row>
    <row r="2438" spans="18:19" x14ac:dyDescent="0.25">
      <c r="R2438"/>
      <c r="S2438"/>
    </row>
    <row r="2439" spans="18:19" x14ac:dyDescent="0.25">
      <c r="R2439"/>
      <c r="S2439"/>
    </row>
    <row r="2440" spans="18:19" x14ac:dyDescent="0.25">
      <c r="R2440"/>
      <c r="S2440"/>
    </row>
    <row r="2441" spans="18:19" x14ac:dyDescent="0.25">
      <c r="R2441"/>
      <c r="S2441"/>
    </row>
    <row r="2442" spans="18:19" x14ac:dyDescent="0.25">
      <c r="R2442"/>
      <c r="S2442"/>
    </row>
    <row r="2443" spans="18:19" x14ac:dyDescent="0.25">
      <c r="R2443"/>
      <c r="S2443"/>
    </row>
    <row r="2444" spans="18:19" x14ac:dyDescent="0.25">
      <c r="R2444"/>
      <c r="S2444"/>
    </row>
    <row r="2445" spans="18:19" x14ac:dyDescent="0.25">
      <c r="R2445"/>
      <c r="S2445"/>
    </row>
    <row r="2446" spans="18:19" x14ac:dyDescent="0.25">
      <c r="R2446"/>
      <c r="S2446"/>
    </row>
    <row r="2447" spans="18:19" x14ac:dyDescent="0.25">
      <c r="R2447"/>
      <c r="S2447"/>
    </row>
    <row r="2448" spans="18:19" x14ac:dyDescent="0.25">
      <c r="R2448"/>
      <c r="S2448"/>
    </row>
    <row r="2449" spans="18:19" x14ac:dyDescent="0.25">
      <c r="R2449"/>
      <c r="S2449"/>
    </row>
    <row r="2450" spans="18:19" x14ac:dyDescent="0.25">
      <c r="R2450"/>
      <c r="S2450"/>
    </row>
    <row r="2451" spans="18:19" x14ac:dyDescent="0.25">
      <c r="R2451"/>
      <c r="S2451"/>
    </row>
    <row r="2452" spans="18:19" x14ac:dyDescent="0.25">
      <c r="R2452"/>
      <c r="S2452"/>
    </row>
    <row r="2453" spans="18:19" x14ac:dyDescent="0.25">
      <c r="R2453"/>
      <c r="S2453"/>
    </row>
    <row r="2454" spans="18:19" x14ac:dyDescent="0.25">
      <c r="R2454"/>
      <c r="S2454"/>
    </row>
    <row r="2455" spans="18:19" x14ac:dyDescent="0.25">
      <c r="R2455"/>
      <c r="S2455"/>
    </row>
    <row r="2456" spans="18:19" x14ac:dyDescent="0.25">
      <c r="R2456"/>
      <c r="S2456"/>
    </row>
    <row r="2457" spans="18:19" x14ac:dyDescent="0.25">
      <c r="R2457"/>
      <c r="S2457"/>
    </row>
    <row r="2458" spans="18:19" x14ac:dyDescent="0.25">
      <c r="R2458"/>
      <c r="S2458"/>
    </row>
    <row r="2459" spans="18:19" x14ac:dyDescent="0.25">
      <c r="R2459"/>
      <c r="S2459"/>
    </row>
    <row r="2460" spans="18:19" x14ac:dyDescent="0.25">
      <c r="R2460"/>
      <c r="S2460"/>
    </row>
    <row r="2461" spans="18:19" x14ac:dyDescent="0.25">
      <c r="R2461"/>
      <c r="S2461"/>
    </row>
    <row r="2462" spans="18:19" x14ac:dyDescent="0.25">
      <c r="R2462"/>
      <c r="S2462"/>
    </row>
    <row r="2463" spans="18:19" x14ac:dyDescent="0.25">
      <c r="R2463"/>
      <c r="S2463"/>
    </row>
    <row r="2464" spans="18:19" x14ac:dyDescent="0.25">
      <c r="R2464"/>
      <c r="S2464"/>
    </row>
    <row r="2465" spans="18:19" x14ac:dyDescent="0.25">
      <c r="R2465"/>
      <c r="S2465"/>
    </row>
    <row r="2466" spans="18:19" x14ac:dyDescent="0.25">
      <c r="R2466"/>
      <c r="S2466"/>
    </row>
    <row r="2467" spans="18:19" x14ac:dyDescent="0.25">
      <c r="R2467"/>
      <c r="S2467"/>
    </row>
    <row r="2468" spans="18:19" x14ac:dyDescent="0.25">
      <c r="R2468"/>
      <c r="S2468"/>
    </row>
    <row r="2469" spans="18:19" x14ac:dyDescent="0.25">
      <c r="R2469"/>
      <c r="S2469"/>
    </row>
    <row r="2470" spans="18:19" x14ac:dyDescent="0.25">
      <c r="R2470"/>
      <c r="S2470"/>
    </row>
    <row r="2471" spans="18:19" x14ac:dyDescent="0.25">
      <c r="R2471"/>
      <c r="S2471"/>
    </row>
    <row r="2472" spans="18:19" x14ac:dyDescent="0.25">
      <c r="R2472"/>
      <c r="S2472"/>
    </row>
    <row r="2473" spans="18:19" x14ac:dyDescent="0.25">
      <c r="R2473"/>
      <c r="S2473"/>
    </row>
    <row r="2474" spans="18:19" x14ac:dyDescent="0.25">
      <c r="R2474"/>
      <c r="S2474"/>
    </row>
    <row r="2475" spans="18:19" x14ac:dyDescent="0.25">
      <c r="R2475"/>
      <c r="S2475"/>
    </row>
    <row r="2476" spans="18:19" x14ac:dyDescent="0.25">
      <c r="R2476"/>
      <c r="S2476"/>
    </row>
    <row r="2477" spans="18:19" x14ac:dyDescent="0.25">
      <c r="R2477"/>
      <c r="S2477"/>
    </row>
    <row r="2478" spans="18:19" x14ac:dyDescent="0.25">
      <c r="R2478"/>
      <c r="S2478"/>
    </row>
    <row r="2479" spans="18:19" x14ac:dyDescent="0.25">
      <c r="R2479"/>
      <c r="S2479"/>
    </row>
    <row r="2480" spans="18:19" x14ac:dyDescent="0.25">
      <c r="R2480"/>
      <c r="S2480"/>
    </row>
    <row r="2481" spans="18:19" x14ac:dyDescent="0.25">
      <c r="R2481"/>
      <c r="S2481"/>
    </row>
    <row r="2482" spans="18:19" x14ac:dyDescent="0.25">
      <c r="R2482"/>
      <c r="S2482"/>
    </row>
    <row r="2483" spans="18:19" x14ac:dyDescent="0.25">
      <c r="R2483"/>
      <c r="S2483"/>
    </row>
    <row r="2484" spans="18:19" x14ac:dyDescent="0.25">
      <c r="R2484"/>
      <c r="S2484"/>
    </row>
    <row r="2485" spans="18:19" x14ac:dyDescent="0.25">
      <c r="R2485"/>
      <c r="S2485"/>
    </row>
    <row r="2486" spans="18:19" x14ac:dyDescent="0.25">
      <c r="R2486"/>
      <c r="S2486"/>
    </row>
    <row r="2487" spans="18:19" x14ac:dyDescent="0.25">
      <c r="R2487"/>
      <c r="S2487"/>
    </row>
    <row r="2488" spans="18:19" x14ac:dyDescent="0.25">
      <c r="R2488"/>
      <c r="S2488"/>
    </row>
    <row r="2489" spans="18:19" x14ac:dyDescent="0.25">
      <c r="R2489"/>
      <c r="S2489"/>
    </row>
    <row r="2490" spans="18:19" x14ac:dyDescent="0.25">
      <c r="R2490"/>
      <c r="S2490"/>
    </row>
    <row r="2491" spans="18:19" x14ac:dyDescent="0.25">
      <c r="R2491"/>
      <c r="S2491"/>
    </row>
    <row r="2492" spans="18:19" x14ac:dyDescent="0.25">
      <c r="R2492"/>
      <c r="S2492"/>
    </row>
    <row r="2493" spans="18:19" x14ac:dyDescent="0.25">
      <c r="R2493"/>
      <c r="S2493"/>
    </row>
    <row r="2494" spans="18:19" x14ac:dyDescent="0.25">
      <c r="R2494"/>
      <c r="S2494"/>
    </row>
    <row r="2495" spans="18:19" x14ac:dyDescent="0.25">
      <c r="R2495"/>
      <c r="S2495"/>
    </row>
    <row r="2496" spans="18:19" x14ac:dyDescent="0.25">
      <c r="R2496"/>
      <c r="S2496"/>
    </row>
    <row r="2497" spans="18:19" x14ac:dyDescent="0.25">
      <c r="R2497"/>
      <c r="S2497"/>
    </row>
    <row r="2498" spans="18:19" x14ac:dyDescent="0.25">
      <c r="R2498"/>
      <c r="S2498"/>
    </row>
    <row r="2499" spans="18:19" x14ac:dyDescent="0.25">
      <c r="R2499"/>
      <c r="S2499"/>
    </row>
    <row r="2500" spans="18:19" x14ac:dyDescent="0.25">
      <c r="R2500"/>
      <c r="S2500"/>
    </row>
    <row r="2501" spans="18:19" x14ac:dyDescent="0.25">
      <c r="R2501"/>
      <c r="S2501"/>
    </row>
    <row r="2502" spans="18:19" x14ac:dyDescent="0.25">
      <c r="R2502"/>
      <c r="S2502"/>
    </row>
    <row r="2503" spans="18:19" x14ac:dyDescent="0.25">
      <c r="R2503"/>
      <c r="S2503"/>
    </row>
    <row r="2504" spans="18:19" x14ac:dyDescent="0.25">
      <c r="R2504"/>
      <c r="S2504"/>
    </row>
    <row r="2505" spans="18:19" x14ac:dyDescent="0.25">
      <c r="R2505"/>
      <c r="S2505"/>
    </row>
    <row r="2506" spans="18:19" x14ac:dyDescent="0.25">
      <c r="R2506"/>
      <c r="S2506"/>
    </row>
    <row r="2507" spans="18:19" x14ac:dyDescent="0.25">
      <c r="R2507"/>
      <c r="S2507"/>
    </row>
    <row r="2508" spans="18:19" x14ac:dyDescent="0.25">
      <c r="R2508"/>
      <c r="S2508"/>
    </row>
    <row r="2509" spans="18:19" x14ac:dyDescent="0.25">
      <c r="R2509"/>
      <c r="S2509"/>
    </row>
    <row r="2510" spans="18:19" x14ac:dyDescent="0.25">
      <c r="R2510"/>
      <c r="S2510"/>
    </row>
    <row r="2511" spans="18:19" x14ac:dyDescent="0.25">
      <c r="R2511"/>
      <c r="S2511"/>
    </row>
    <row r="2512" spans="18:19" x14ac:dyDescent="0.25">
      <c r="R2512"/>
      <c r="S2512"/>
    </row>
    <row r="2513" spans="18:19" x14ac:dyDescent="0.25">
      <c r="R2513"/>
      <c r="S2513"/>
    </row>
    <row r="2514" spans="18:19" x14ac:dyDescent="0.25">
      <c r="R2514"/>
      <c r="S2514"/>
    </row>
    <row r="2515" spans="18:19" x14ac:dyDescent="0.25">
      <c r="R2515"/>
      <c r="S2515"/>
    </row>
    <row r="2516" spans="18:19" x14ac:dyDescent="0.25">
      <c r="R2516"/>
      <c r="S2516"/>
    </row>
    <row r="2517" spans="18:19" x14ac:dyDescent="0.25">
      <c r="R2517"/>
      <c r="S2517"/>
    </row>
    <row r="2518" spans="18:19" x14ac:dyDescent="0.25">
      <c r="R2518"/>
      <c r="S2518"/>
    </row>
    <row r="2519" spans="18:19" x14ac:dyDescent="0.25">
      <c r="R2519"/>
      <c r="S2519"/>
    </row>
    <row r="2520" spans="18:19" x14ac:dyDescent="0.25">
      <c r="R2520"/>
      <c r="S2520"/>
    </row>
    <row r="2521" spans="18:19" x14ac:dyDescent="0.25">
      <c r="R2521"/>
      <c r="S2521"/>
    </row>
    <row r="2522" spans="18:19" x14ac:dyDescent="0.25">
      <c r="R2522"/>
      <c r="S2522"/>
    </row>
    <row r="2523" spans="18:19" x14ac:dyDescent="0.25">
      <c r="R2523"/>
      <c r="S2523"/>
    </row>
    <row r="2524" spans="18:19" x14ac:dyDescent="0.25">
      <c r="R2524"/>
      <c r="S2524"/>
    </row>
    <row r="2525" spans="18:19" x14ac:dyDescent="0.25">
      <c r="R2525"/>
      <c r="S2525"/>
    </row>
    <row r="2526" spans="18:19" x14ac:dyDescent="0.25">
      <c r="R2526"/>
      <c r="S2526"/>
    </row>
    <row r="2527" spans="18:19" x14ac:dyDescent="0.25">
      <c r="R2527"/>
      <c r="S2527"/>
    </row>
    <row r="2528" spans="18:19" x14ac:dyDescent="0.25">
      <c r="R2528"/>
      <c r="S2528"/>
    </row>
    <row r="2529" spans="18:19" x14ac:dyDescent="0.25">
      <c r="R2529"/>
      <c r="S2529"/>
    </row>
    <row r="2530" spans="18:19" x14ac:dyDescent="0.25">
      <c r="R2530"/>
      <c r="S2530"/>
    </row>
    <row r="2531" spans="18:19" x14ac:dyDescent="0.25">
      <c r="R2531"/>
      <c r="S2531"/>
    </row>
    <row r="2532" spans="18:19" x14ac:dyDescent="0.25">
      <c r="R2532"/>
      <c r="S2532"/>
    </row>
    <row r="2533" spans="18:19" x14ac:dyDescent="0.25">
      <c r="R2533"/>
      <c r="S2533"/>
    </row>
    <row r="2534" spans="18:19" x14ac:dyDescent="0.25">
      <c r="R2534"/>
      <c r="S2534"/>
    </row>
    <row r="2535" spans="18:19" x14ac:dyDescent="0.25">
      <c r="R2535"/>
      <c r="S2535"/>
    </row>
    <row r="2536" spans="18:19" x14ac:dyDescent="0.25">
      <c r="R2536"/>
      <c r="S2536"/>
    </row>
    <row r="2537" spans="18:19" x14ac:dyDescent="0.25">
      <c r="R2537"/>
      <c r="S2537"/>
    </row>
    <row r="2538" spans="18:19" x14ac:dyDescent="0.25">
      <c r="R2538"/>
      <c r="S2538"/>
    </row>
    <row r="2539" spans="18:19" x14ac:dyDescent="0.25">
      <c r="R2539"/>
      <c r="S2539"/>
    </row>
    <row r="2540" spans="18:19" x14ac:dyDescent="0.25">
      <c r="R2540"/>
      <c r="S2540"/>
    </row>
    <row r="2541" spans="18:19" x14ac:dyDescent="0.25">
      <c r="R2541"/>
      <c r="S2541"/>
    </row>
    <row r="2542" spans="18:19" x14ac:dyDescent="0.25">
      <c r="R2542"/>
      <c r="S2542"/>
    </row>
    <row r="2543" spans="18:19" x14ac:dyDescent="0.25">
      <c r="R2543"/>
      <c r="S2543"/>
    </row>
    <row r="2544" spans="18:19" x14ac:dyDescent="0.25">
      <c r="R2544"/>
      <c r="S2544"/>
    </row>
    <row r="2545" spans="18:19" x14ac:dyDescent="0.25">
      <c r="R2545"/>
      <c r="S2545"/>
    </row>
    <row r="2546" spans="18:19" x14ac:dyDescent="0.25">
      <c r="R2546"/>
      <c r="S2546"/>
    </row>
    <row r="2547" spans="18:19" x14ac:dyDescent="0.25">
      <c r="R2547"/>
      <c r="S2547"/>
    </row>
    <row r="2548" spans="18:19" x14ac:dyDescent="0.25">
      <c r="R2548"/>
      <c r="S2548"/>
    </row>
    <row r="2549" spans="18:19" x14ac:dyDescent="0.25">
      <c r="R2549"/>
      <c r="S2549"/>
    </row>
    <row r="2550" spans="18:19" x14ac:dyDescent="0.25">
      <c r="R2550"/>
      <c r="S2550"/>
    </row>
    <row r="2551" spans="18:19" x14ac:dyDescent="0.25">
      <c r="R2551"/>
      <c r="S2551"/>
    </row>
    <row r="2552" spans="18:19" x14ac:dyDescent="0.25">
      <c r="R2552"/>
      <c r="S2552"/>
    </row>
    <row r="2553" spans="18:19" x14ac:dyDescent="0.25">
      <c r="R2553"/>
      <c r="S2553"/>
    </row>
    <row r="2554" spans="18:19" x14ac:dyDescent="0.25">
      <c r="R2554"/>
      <c r="S2554"/>
    </row>
    <row r="2555" spans="18:19" x14ac:dyDescent="0.25">
      <c r="R2555"/>
      <c r="S2555"/>
    </row>
    <row r="2556" spans="18:19" x14ac:dyDescent="0.25">
      <c r="R2556"/>
      <c r="S2556"/>
    </row>
    <row r="2557" spans="18:19" x14ac:dyDescent="0.25">
      <c r="R2557"/>
      <c r="S2557"/>
    </row>
    <row r="2558" spans="18:19" x14ac:dyDescent="0.25">
      <c r="R2558"/>
      <c r="S2558"/>
    </row>
    <row r="2559" spans="18:19" x14ac:dyDescent="0.25">
      <c r="R2559"/>
      <c r="S2559"/>
    </row>
    <row r="2560" spans="18:19" x14ac:dyDescent="0.25">
      <c r="R2560"/>
      <c r="S2560"/>
    </row>
    <row r="2561" spans="18:19" x14ac:dyDescent="0.25">
      <c r="R2561"/>
      <c r="S2561"/>
    </row>
    <row r="2562" spans="18:19" x14ac:dyDescent="0.25">
      <c r="R2562"/>
      <c r="S2562"/>
    </row>
    <row r="2563" spans="18:19" x14ac:dyDescent="0.25">
      <c r="R2563"/>
      <c r="S2563"/>
    </row>
    <row r="2564" spans="18:19" x14ac:dyDescent="0.25">
      <c r="R2564"/>
      <c r="S2564"/>
    </row>
    <row r="2565" spans="18:19" x14ac:dyDescent="0.25">
      <c r="R2565"/>
      <c r="S2565"/>
    </row>
    <row r="2566" spans="18:19" x14ac:dyDescent="0.25">
      <c r="R2566"/>
      <c r="S2566"/>
    </row>
    <row r="2567" spans="18:19" x14ac:dyDescent="0.25">
      <c r="R2567"/>
      <c r="S2567"/>
    </row>
    <row r="2568" spans="18:19" x14ac:dyDescent="0.25">
      <c r="R2568"/>
      <c r="S2568"/>
    </row>
    <row r="2569" spans="18:19" x14ac:dyDescent="0.25">
      <c r="R2569"/>
      <c r="S2569"/>
    </row>
    <row r="2570" spans="18:19" x14ac:dyDescent="0.25">
      <c r="R2570"/>
      <c r="S2570"/>
    </row>
    <row r="2571" spans="18:19" x14ac:dyDescent="0.25">
      <c r="R2571"/>
      <c r="S2571"/>
    </row>
    <row r="2572" spans="18:19" x14ac:dyDescent="0.25">
      <c r="R2572"/>
      <c r="S2572"/>
    </row>
    <row r="2573" spans="18:19" x14ac:dyDescent="0.25">
      <c r="R2573"/>
      <c r="S2573"/>
    </row>
    <row r="2574" spans="18:19" x14ac:dyDescent="0.25">
      <c r="R2574"/>
      <c r="S2574"/>
    </row>
    <row r="2575" spans="18:19" x14ac:dyDescent="0.25">
      <c r="R2575"/>
      <c r="S2575"/>
    </row>
    <row r="2576" spans="18:19" x14ac:dyDescent="0.25">
      <c r="R2576"/>
      <c r="S2576"/>
    </row>
    <row r="2577" spans="18:19" x14ac:dyDescent="0.25">
      <c r="R2577"/>
      <c r="S2577"/>
    </row>
    <row r="2578" spans="18:19" x14ac:dyDescent="0.25">
      <c r="R2578"/>
      <c r="S2578"/>
    </row>
    <row r="2579" spans="18:19" x14ac:dyDescent="0.25">
      <c r="R2579"/>
      <c r="S2579"/>
    </row>
    <row r="2580" spans="18:19" x14ac:dyDescent="0.25">
      <c r="R2580"/>
      <c r="S2580"/>
    </row>
    <row r="2581" spans="18:19" x14ac:dyDescent="0.25">
      <c r="R2581"/>
      <c r="S2581"/>
    </row>
    <row r="2582" spans="18:19" x14ac:dyDescent="0.25">
      <c r="R2582"/>
      <c r="S2582"/>
    </row>
    <row r="2583" spans="18:19" x14ac:dyDescent="0.25">
      <c r="R2583"/>
      <c r="S2583"/>
    </row>
    <row r="2584" spans="18:19" x14ac:dyDescent="0.25">
      <c r="R2584"/>
      <c r="S2584"/>
    </row>
    <row r="2585" spans="18:19" x14ac:dyDescent="0.25">
      <c r="R2585"/>
      <c r="S2585"/>
    </row>
    <row r="2586" spans="18:19" x14ac:dyDescent="0.25">
      <c r="R2586"/>
      <c r="S2586"/>
    </row>
    <row r="2587" spans="18:19" x14ac:dyDescent="0.25">
      <c r="R2587"/>
      <c r="S2587"/>
    </row>
    <row r="2588" spans="18:19" x14ac:dyDescent="0.25">
      <c r="R2588"/>
      <c r="S2588"/>
    </row>
    <row r="2589" spans="18:19" x14ac:dyDescent="0.25">
      <c r="R2589"/>
      <c r="S2589"/>
    </row>
    <row r="2590" spans="18:19" x14ac:dyDescent="0.25">
      <c r="R2590"/>
      <c r="S2590"/>
    </row>
    <row r="2591" spans="18:19" x14ac:dyDescent="0.25">
      <c r="R2591"/>
      <c r="S2591"/>
    </row>
    <row r="2592" spans="18:19" x14ac:dyDescent="0.25">
      <c r="R2592"/>
      <c r="S2592"/>
    </row>
    <row r="2593" spans="18:19" x14ac:dyDescent="0.25">
      <c r="R2593"/>
      <c r="S2593"/>
    </row>
    <row r="2594" spans="18:19" x14ac:dyDescent="0.25">
      <c r="R2594"/>
      <c r="S2594"/>
    </row>
    <row r="2595" spans="18:19" x14ac:dyDescent="0.25">
      <c r="R2595"/>
      <c r="S2595"/>
    </row>
    <row r="2596" spans="18:19" x14ac:dyDescent="0.25">
      <c r="R2596"/>
      <c r="S2596"/>
    </row>
    <row r="2597" spans="18:19" x14ac:dyDescent="0.25">
      <c r="R2597"/>
      <c r="S2597"/>
    </row>
    <row r="2598" spans="18:19" x14ac:dyDescent="0.25">
      <c r="R2598"/>
      <c r="S2598"/>
    </row>
    <row r="2599" spans="18:19" x14ac:dyDescent="0.25">
      <c r="R2599"/>
      <c r="S2599"/>
    </row>
    <row r="2600" spans="18:19" x14ac:dyDescent="0.25">
      <c r="R2600"/>
      <c r="S2600"/>
    </row>
    <row r="2601" spans="18:19" x14ac:dyDescent="0.25">
      <c r="R2601"/>
      <c r="S2601"/>
    </row>
    <row r="2602" spans="18:19" x14ac:dyDescent="0.25">
      <c r="R2602"/>
      <c r="S2602"/>
    </row>
    <row r="2603" spans="18:19" x14ac:dyDescent="0.25">
      <c r="R2603"/>
      <c r="S2603"/>
    </row>
    <row r="2604" spans="18:19" x14ac:dyDescent="0.25">
      <c r="R2604"/>
      <c r="S2604"/>
    </row>
    <row r="2605" spans="18:19" x14ac:dyDescent="0.25">
      <c r="R2605"/>
      <c r="S2605"/>
    </row>
    <row r="2606" spans="18:19" x14ac:dyDescent="0.25">
      <c r="R2606"/>
      <c r="S2606"/>
    </row>
    <row r="2607" spans="18:19" x14ac:dyDescent="0.25">
      <c r="R2607"/>
      <c r="S2607"/>
    </row>
    <row r="2608" spans="18:19" x14ac:dyDescent="0.25">
      <c r="R2608"/>
      <c r="S2608"/>
    </row>
    <row r="2609" spans="18:19" x14ac:dyDescent="0.25">
      <c r="R2609"/>
      <c r="S2609"/>
    </row>
    <row r="2610" spans="18:19" x14ac:dyDescent="0.25">
      <c r="R2610"/>
      <c r="S2610"/>
    </row>
    <row r="2611" spans="18:19" x14ac:dyDescent="0.25">
      <c r="R2611"/>
      <c r="S2611"/>
    </row>
    <row r="2612" spans="18:19" x14ac:dyDescent="0.25">
      <c r="R2612"/>
      <c r="S2612"/>
    </row>
    <row r="2613" spans="18:19" x14ac:dyDescent="0.25">
      <c r="R2613"/>
      <c r="S2613"/>
    </row>
    <row r="2614" spans="18:19" x14ac:dyDescent="0.25">
      <c r="R2614"/>
      <c r="S2614"/>
    </row>
    <row r="2615" spans="18:19" x14ac:dyDescent="0.25">
      <c r="R2615"/>
      <c r="S2615"/>
    </row>
    <row r="2616" spans="18:19" x14ac:dyDescent="0.25">
      <c r="R2616"/>
      <c r="S2616"/>
    </row>
    <row r="2617" spans="18:19" x14ac:dyDescent="0.25">
      <c r="R2617"/>
      <c r="S2617"/>
    </row>
    <row r="2618" spans="18:19" x14ac:dyDescent="0.25">
      <c r="R2618"/>
      <c r="S2618"/>
    </row>
    <row r="2619" spans="18:19" x14ac:dyDescent="0.25">
      <c r="R2619"/>
      <c r="S2619"/>
    </row>
    <row r="2620" spans="18:19" x14ac:dyDescent="0.25">
      <c r="R2620"/>
      <c r="S2620"/>
    </row>
    <row r="2621" spans="18:19" x14ac:dyDescent="0.25">
      <c r="R2621"/>
      <c r="S2621"/>
    </row>
    <row r="2622" spans="18:19" x14ac:dyDescent="0.25">
      <c r="R2622"/>
      <c r="S2622"/>
    </row>
    <row r="2623" spans="18:19" x14ac:dyDescent="0.25">
      <c r="R2623"/>
      <c r="S2623"/>
    </row>
    <row r="2624" spans="18:19" x14ac:dyDescent="0.25">
      <c r="R2624"/>
      <c r="S2624"/>
    </row>
    <row r="2625" spans="18:19" x14ac:dyDescent="0.25">
      <c r="R2625"/>
      <c r="S2625"/>
    </row>
    <row r="2626" spans="18:19" x14ac:dyDescent="0.25">
      <c r="R2626"/>
      <c r="S2626"/>
    </row>
    <row r="2627" spans="18:19" x14ac:dyDescent="0.25">
      <c r="R2627"/>
      <c r="S2627"/>
    </row>
    <row r="2628" spans="18:19" x14ac:dyDescent="0.25">
      <c r="R2628"/>
      <c r="S2628"/>
    </row>
    <row r="2629" spans="18:19" x14ac:dyDescent="0.25">
      <c r="R2629"/>
      <c r="S2629"/>
    </row>
    <row r="2630" spans="18:19" x14ac:dyDescent="0.25">
      <c r="R2630"/>
      <c r="S2630"/>
    </row>
    <row r="2631" spans="18:19" x14ac:dyDescent="0.25">
      <c r="R2631"/>
      <c r="S2631"/>
    </row>
    <row r="2632" spans="18:19" x14ac:dyDescent="0.25">
      <c r="R2632"/>
      <c r="S2632"/>
    </row>
    <row r="2633" spans="18:19" x14ac:dyDescent="0.25">
      <c r="R2633"/>
      <c r="S2633"/>
    </row>
    <row r="2634" spans="18:19" x14ac:dyDescent="0.25">
      <c r="R2634"/>
      <c r="S2634"/>
    </row>
    <row r="2635" spans="18:19" x14ac:dyDescent="0.25">
      <c r="R2635"/>
      <c r="S2635"/>
    </row>
    <row r="2636" spans="18:19" x14ac:dyDescent="0.25">
      <c r="R2636"/>
      <c r="S2636"/>
    </row>
    <row r="2637" spans="18:19" x14ac:dyDescent="0.25">
      <c r="R2637"/>
      <c r="S2637"/>
    </row>
    <row r="2638" spans="18:19" x14ac:dyDescent="0.25">
      <c r="R2638"/>
      <c r="S2638"/>
    </row>
    <row r="2639" spans="18:19" x14ac:dyDescent="0.25">
      <c r="R2639"/>
      <c r="S2639"/>
    </row>
    <row r="2640" spans="18:19" x14ac:dyDescent="0.25">
      <c r="R2640"/>
      <c r="S2640"/>
    </row>
    <row r="2641" spans="18:19" x14ac:dyDescent="0.25">
      <c r="R2641"/>
      <c r="S2641"/>
    </row>
    <row r="2642" spans="18:19" x14ac:dyDescent="0.25">
      <c r="R2642"/>
      <c r="S2642"/>
    </row>
    <row r="2643" spans="18:19" x14ac:dyDescent="0.25">
      <c r="R2643"/>
      <c r="S2643"/>
    </row>
    <row r="2644" spans="18:19" x14ac:dyDescent="0.25">
      <c r="R2644"/>
      <c r="S2644"/>
    </row>
    <row r="2645" spans="18:19" x14ac:dyDescent="0.25">
      <c r="R2645"/>
      <c r="S2645"/>
    </row>
    <row r="2646" spans="18:19" x14ac:dyDescent="0.25">
      <c r="R2646"/>
      <c r="S2646"/>
    </row>
    <row r="2647" spans="18:19" x14ac:dyDescent="0.25">
      <c r="R2647"/>
      <c r="S2647"/>
    </row>
    <row r="2648" spans="18:19" x14ac:dyDescent="0.25">
      <c r="R2648"/>
      <c r="S2648"/>
    </row>
    <row r="2649" spans="18:19" x14ac:dyDescent="0.25">
      <c r="R2649"/>
      <c r="S2649"/>
    </row>
    <row r="2650" spans="18:19" x14ac:dyDescent="0.25">
      <c r="R2650"/>
      <c r="S2650"/>
    </row>
    <row r="2651" spans="18:19" x14ac:dyDescent="0.25">
      <c r="R2651"/>
      <c r="S2651"/>
    </row>
    <row r="2652" spans="18:19" x14ac:dyDescent="0.25">
      <c r="R2652"/>
      <c r="S2652"/>
    </row>
    <row r="2653" spans="18:19" x14ac:dyDescent="0.25">
      <c r="R2653"/>
      <c r="S2653"/>
    </row>
    <row r="2654" spans="18:19" x14ac:dyDescent="0.25">
      <c r="R2654"/>
      <c r="S2654"/>
    </row>
    <row r="2655" spans="18:19" x14ac:dyDescent="0.25">
      <c r="R2655"/>
      <c r="S2655"/>
    </row>
    <row r="2656" spans="18:19" x14ac:dyDescent="0.25">
      <c r="R2656"/>
      <c r="S2656"/>
    </row>
    <row r="2657" spans="18:19" x14ac:dyDescent="0.25">
      <c r="R2657"/>
      <c r="S2657"/>
    </row>
    <row r="2658" spans="18:19" x14ac:dyDescent="0.25">
      <c r="R2658"/>
      <c r="S2658"/>
    </row>
    <row r="2659" spans="18:19" x14ac:dyDescent="0.25">
      <c r="R2659"/>
      <c r="S2659"/>
    </row>
    <row r="2660" spans="18:19" x14ac:dyDescent="0.25">
      <c r="R2660"/>
      <c r="S2660"/>
    </row>
    <row r="2661" spans="18:19" x14ac:dyDescent="0.25">
      <c r="R2661"/>
      <c r="S2661"/>
    </row>
    <row r="2662" spans="18:19" x14ac:dyDescent="0.25">
      <c r="R2662"/>
      <c r="S2662"/>
    </row>
    <row r="2663" spans="18:19" x14ac:dyDescent="0.25">
      <c r="R2663"/>
      <c r="S2663"/>
    </row>
    <row r="2664" spans="18:19" x14ac:dyDescent="0.25">
      <c r="R2664"/>
      <c r="S2664"/>
    </row>
    <row r="2665" spans="18:19" x14ac:dyDescent="0.25">
      <c r="R2665"/>
      <c r="S2665"/>
    </row>
    <row r="2666" spans="18:19" x14ac:dyDescent="0.25">
      <c r="R2666"/>
      <c r="S2666"/>
    </row>
    <row r="2667" spans="18:19" x14ac:dyDescent="0.25">
      <c r="R2667"/>
      <c r="S2667"/>
    </row>
    <row r="2668" spans="18:19" x14ac:dyDescent="0.25">
      <c r="R2668"/>
      <c r="S2668"/>
    </row>
    <row r="2669" spans="18:19" x14ac:dyDescent="0.25">
      <c r="R2669"/>
      <c r="S2669"/>
    </row>
    <row r="2670" spans="18:19" x14ac:dyDescent="0.25">
      <c r="R2670"/>
      <c r="S2670"/>
    </row>
    <row r="2671" spans="18:19" x14ac:dyDescent="0.25">
      <c r="R2671"/>
      <c r="S2671"/>
    </row>
    <row r="2672" spans="18:19" x14ac:dyDescent="0.25">
      <c r="R2672"/>
      <c r="S2672"/>
    </row>
    <row r="2673" spans="18:19" x14ac:dyDescent="0.25">
      <c r="R2673"/>
      <c r="S2673"/>
    </row>
    <row r="2674" spans="18:19" x14ac:dyDescent="0.25">
      <c r="R2674"/>
      <c r="S2674"/>
    </row>
    <row r="2675" spans="18:19" x14ac:dyDescent="0.25">
      <c r="R2675"/>
      <c r="S2675"/>
    </row>
    <row r="2676" spans="18:19" x14ac:dyDescent="0.25">
      <c r="R2676"/>
      <c r="S2676"/>
    </row>
    <row r="2677" spans="18:19" x14ac:dyDescent="0.25">
      <c r="R2677"/>
      <c r="S2677"/>
    </row>
    <row r="2678" spans="18:19" x14ac:dyDescent="0.25">
      <c r="R2678"/>
      <c r="S2678"/>
    </row>
    <row r="2679" spans="18:19" x14ac:dyDescent="0.25">
      <c r="R2679"/>
      <c r="S2679"/>
    </row>
    <row r="2680" spans="18:19" x14ac:dyDescent="0.25">
      <c r="R2680"/>
      <c r="S2680"/>
    </row>
    <row r="2681" spans="18:19" x14ac:dyDescent="0.25">
      <c r="R2681"/>
      <c r="S2681"/>
    </row>
    <row r="2682" spans="18:19" x14ac:dyDescent="0.25">
      <c r="R2682"/>
      <c r="S2682"/>
    </row>
    <row r="2683" spans="18:19" x14ac:dyDescent="0.25">
      <c r="R2683"/>
      <c r="S2683"/>
    </row>
    <row r="2684" spans="18:19" x14ac:dyDescent="0.25">
      <c r="R2684"/>
      <c r="S2684"/>
    </row>
    <row r="2685" spans="18:19" x14ac:dyDescent="0.25">
      <c r="R2685"/>
      <c r="S2685"/>
    </row>
    <row r="2686" spans="18:19" x14ac:dyDescent="0.25">
      <c r="R2686"/>
      <c r="S2686"/>
    </row>
    <row r="2687" spans="18:19" x14ac:dyDescent="0.25">
      <c r="R2687"/>
      <c r="S2687"/>
    </row>
    <row r="2688" spans="18:19" x14ac:dyDescent="0.25">
      <c r="R2688"/>
      <c r="S2688"/>
    </row>
    <row r="2689" spans="18:19" x14ac:dyDescent="0.25">
      <c r="R2689"/>
      <c r="S2689"/>
    </row>
    <row r="2690" spans="18:19" x14ac:dyDescent="0.25">
      <c r="R2690"/>
      <c r="S2690"/>
    </row>
    <row r="2691" spans="18:19" x14ac:dyDescent="0.25">
      <c r="R2691"/>
      <c r="S2691"/>
    </row>
    <row r="2692" spans="18:19" x14ac:dyDescent="0.25">
      <c r="R2692"/>
      <c r="S2692"/>
    </row>
    <row r="2693" spans="18:19" x14ac:dyDescent="0.25">
      <c r="R2693"/>
      <c r="S2693"/>
    </row>
    <row r="2694" spans="18:19" x14ac:dyDescent="0.25">
      <c r="R2694"/>
      <c r="S2694"/>
    </row>
    <row r="2695" spans="18:19" x14ac:dyDescent="0.25">
      <c r="R2695"/>
      <c r="S2695"/>
    </row>
    <row r="2696" spans="18:19" x14ac:dyDescent="0.25">
      <c r="R2696"/>
      <c r="S2696"/>
    </row>
    <row r="2697" spans="18:19" x14ac:dyDescent="0.25">
      <c r="R2697"/>
      <c r="S2697"/>
    </row>
    <row r="2698" spans="18:19" x14ac:dyDescent="0.25">
      <c r="R2698"/>
      <c r="S2698"/>
    </row>
    <row r="2699" spans="18:19" x14ac:dyDescent="0.25">
      <c r="R2699"/>
      <c r="S2699"/>
    </row>
    <row r="2700" spans="18:19" x14ac:dyDescent="0.25">
      <c r="R2700"/>
      <c r="S2700"/>
    </row>
    <row r="2701" spans="18:19" x14ac:dyDescent="0.25">
      <c r="R2701"/>
      <c r="S2701"/>
    </row>
    <row r="2702" spans="18:19" x14ac:dyDescent="0.25">
      <c r="R2702"/>
      <c r="S2702"/>
    </row>
    <row r="2703" spans="18:19" x14ac:dyDescent="0.25">
      <c r="R2703"/>
      <c r="S2703"/>
    </row>
    <row r="2704" spans="18:19" x14ac:dyDescent="0.25">
      <c r="R2704"/>
      <c r="S2704"/>
    </row>
    <row r="2705" spans="18:19" x14ac:dyDescent="0.25">
      <c r="R2705"/>
      <c r="S2705"/>
    </row>
    <row r="2706" spans="18:19" x14ac:dyDescent="0.25">
      <c r="R2706"/>
      <c r="S2706"/>
    </row>
    <row r="2707" spans="18:19" x14ac:dyDescent="0.25">
      <c r="R2707"/>
      <c r="S2707"/>
    </row>
    <row r="2708" spans="18:19" x14ac:dyDescent="0.25">
      <c r="R2708"/>
      <c r="S2708"/>
    </row>
    <row r="2709" spans="18:19" x14ac:dyDescent="0.25">
      <c r="R2709"/>
      <c r="S2709"/>
    </row>
    <row r="2710" spans="18:19" x14ac:dyDescent="0.25">
      <c r="R2710"/>
      <c r="S2710"/>
    </row>
    <row r="2711" spans="18:19" x14ac:dyDescent="0.25">
      <c r="R2711"/>
      <c r="S2711"/>
    </row>
    <row r="2712" spans="18:19" x14ac:dyDescent="0.25">
      <c r="R2712"/>
      <c r="S2712"/>
    </row>
    <row r="2713" spans="18:19" x14ac:dyDescent="0.25">
      <c r="R2713"/>
      <c r="S2713"/>
    </row>
    <row r="2714" spans="18:19" x14ac:dyDescent="0.25">
      <c r="R2714"/>
      <c r="S2714"/>
    </row>
    <row r="2715" spans="18:19" x14ac:dyDescent="0.25">
      <c r="R2715"/>
      <c r="S2715"/>
    </row>
    <row r="2716" spans="18:19" x14ac:dyDescent="0.25">
      <c r="R2716"/>
      <c r="S2716"/>
    </row>
    <row r="2717" spans="18:19" x14ac:dyDescent="0.25">
      <c r="R2717"/>
      <c r="S2717"/>
    </row>
    <row r="2718" spans="18:19" x14ac:dyDescent="0.25">
      <c r="R2718"/>
      <c r="S2718"/>
    </row>
    <row r="2719" spans="18:19" x14ac:dyDescent="0.25">
      <c r="R2719"/>
      <c r="S2719"/>
    </row>
    <row r="2720" spans="18:19" x14ac:dyDescent="0.25">
      <c r="R2720"/>
      <c r="S2720"/>
    </row>
    <row r="2721" spans="18:19" x14ac:dyDescent="0.25">
      <c r="R2721"/>
      <c r="S2721"/>
    </row>
    <row r="2722" spans="18:19" x14ac:dyDescent="0.25">
      <c r="R2722"/>
      <c r="S2722"/>
    </row>
    <row r="2723" spans="18:19" x14ac:dyDescent="0.25">
      <c r="R2723"/>
      <c r="S2723"/>
    </row>
    <row r="2724" spans="18:19" x14ac:dyDescent="0.25">
      <c r="R2724"/>
      <c r="S2724"/>
    </row>
    <row r="2725" spans="18:19" x14ac:dyDescent="0.25">
      <c r="R2725"/>
      <c r="S2725"/>
    </row>
    <row r="2726" spans="18:19" x14ac:dyDescent="0.25">
      <c r="R2726"/>
      <c r="S2726"/>
    </row>
    <row r="2727" spans="18:19" x14ac:dyDescent="0.25">
      <c r="R2727"/>
      <c r="S2727"/>
    </row>
    <row r="2728" spans="18:19" x14ac:dyDescent="0.25">
      <c r="R2728"/>
      <c r="S2728"/>
    </row>
    <row r="2729" spans="18:19" x14ac:dyDescent="0.25">
      <c r="R2729"/>
      <c r="S2729"/>
    </row>
    <row r="2730" spans="18:19" x14ac:dyDescent="0.25">
      <c r="R2730"/>
      <c r="S2730"/>
    </row>
    <row r="2731" spans="18:19" x14ac:dyDescent="0.25">
      <c r="R2731"/>
      <c r="S2731"/>
    </row>
    <row r="2732" spans="18:19" x14ac:dyDescent="0.25">
      <c r="R2732"/>
      <c r="S2732"/>
    </row>
    <row r="2733" spans="18:19" x14ac:dyDescent="0.25">
      <c r="R2733"/>
      <c r="S2733"/>
    </row>
    <row r="2734" spans="18:19" x14ac:dyDescent="0.25">
      <c r="R2734"/>
      <c r="S2734"/>
    </row>
    <row r="2735" spans="18:19" x14ac:dyDescent="0.25">
      <c r="R2735"/>
      <c r="S2735"/>
    </row>
    <row r="2736" spans="18:19" x14ac:dyDescent="0.25">
      <c r="R2736"/>
      <c r="S2736"/>
    </row>
    <row r="2737" spans="18:19" x14ac:dyDescent="0.25">
      <c r="R2737"/>
      <c r="S2737"/>
    </row>
    <row r="2738" spans="18:19" x14ac:dyDescent="0.25">
      <c r="R2738"/>
      <c r="S2738"/>
    </row>
    <row r="2739" spans="18:19" x14ac:dyDescent="0.25">
      <c r="R2739"/>
      <c r="S2739"/>
    </row>
    <row r="2740" spans="18:19" x14ac:dyDescent="0.25">
      <c r="R2740"/>
      <c r="S2740"/>
    </row>
    <row r="2741" spans="18:19" x14ac:dyDescent="0.25">
      <c r="R2741"/>
      <c r="S2741"/>
    </row>
    <row r="2742" spans="18:19" x14ac:dyDescent="0.25">
      <c r="R2742"/>
      <c r="S2742"/>
    </row>
    <row r="2743" spans="18:19" x14ac:dyDescent="0.25">
      <c r="R2743"/>
      <c r="S2743"/>
    </row>
    <row r="2744" spans="18:19" x14ac:dyDescent="0.25">
      <c r="R2744"/>
      <c r="S2744"/>
    </row>
    <row r="2745" spans="18:19" x14ac:dyDescent="0.25">
      <c r="R2745"/>
      <c r="S2745"/>
    </row>
    <row r="2746" spans="18:19" x14ac:dyDescent="0.25">
      <c r="R2746"/>
      <c r="S2746"/>
    </row>
    <row r="2747" spans="18:19" x14ac:dyDescent="0.25">
      <c r="R2747"/>
      <c r="S2747"/>
    </row>
    <row r="2748" spans="18:19" x14ac:dyDescent="0.25">
      <c r="R2748"/>
      <c r="S2748"/>
    </row>
    <row r="2749" spans="18:19" x14ac:dyDescent="0.25">
      <c r="R2749"/>
      <c r="S2749"/>
    </row>
    <row r="2750" spans="18:19" x14ac:dyDescent="0.25">
      <c r="R2750"/>
      <c r="S2750"/>
    </row>
    <row r="2751" spans="18:19" x14ac:dyDescent="0.25">
      <c r="R2751"/>
      <c r="S2751"/>
    </row>
    <row r="2752" spans="18:19" x14ac:dyDescent="0.25">
      <c r="R2752"/>
      <c r="S2752"/>
    </row>
    <row r="2753" spans="18:19" x14ac:dyDescent="0.25">
      <c r="R2753"/>
      <c r="S2753"/>
    </row>
    <row r="2754" spans="18:19" x14ac:dyDescent="0.25">
      <c r="R2754"/>
      <c r="S2754"/>
    </row>
    <row r="2755" spans="18:19" x14ac:dyDescent="0.25">
      <c r="R2755"/>
      <c r="S2755"/>
    </row>
    <row r="2756" spans="18:19" x14ac:dyDescent="0.25">
      <c r="R2756"/>
      <c r="S2756"/>
    </row>
    <row r="2757" spans="18:19" x14ac:dyDescent="0.25">
      <c r="R2757"/>
      <c r="S2757"/>
    </row>
    <row r="2758" spans="18:19" x14ac:dyDescent="0.25">
      <c r="R2758"/>
      <c r="S2758"/>
    </row>
    <row r="2759" spans="18:19" x14ac:dyDescent="0.25">
      <c r="R2759"/>
      <c r="S2759"/>
    </row>
    <row r="2760" spans="18:19" x14ac:dyDescent="0.25">
      <c r="R2760"/>
      <c r="S2760"/>
    </row>
    <row r="2761" spans="18:19" x14ac:dyDescent="0.25">
      <c r="R2761"/>
      <c r="S2761"/>
    </row>
    <row r="2762" spans="18:19" x14ac:dyDescent="0.25">
      <c r="R2762"/>
      <c r="S2762"/>
    </row>
    <row r="2763" spans="18:19" x14ac:dyDescent="0.25">
      <c r="R2763"/>
      <c r="S2763"/>
    </row>
    <row r="2764" spans="18:19" x14ac:dyDescent="0.25">
      <c r="R2764"/>
      <c r="S2764"/>
    </row>
    <row r="2765" spans="18:19" x14ac:dyDescent="0.25">
      <c r="R2765"/>
      <c r="S2765"/>
    </row>
    <row r="2766" spans="18:19" x14ac:dyDescent="0.25">
      <c r="R2766"/>
      <c r="S2766"/>
    </row>
    <row r="2767" spans="18:19" x14ac:dyDescent="0.25">
      <c r="R2767"/>
      <c r="S2767"/>
    </row>
    <row r="2768" spans="18:19" x14ac:dyDescent="0.25">
      <c r="R2768"/>
      <c r="S2768"/>
    </row>
    <row r="2769" spans="18:19" x14ac:dyDescent="0.25">
      <c r="R2769"/>
      <c r="S2769"/>
    </row>
    <row r="2770" spans="18:19" x14ac:dyDescent="0.25">
      <c r="R2770"/>
      <c r="S2770"/>
    </row>
    <row r="2771" spans="18:19" x14ac:dyDescent="0.25">
      <c r="R2771"/>
      <c r="S2771"/>
    </row>
    <row r="2772" spans="18:19" x14ac:dyDescent="0.25">
      <c r="R2772"/>
      <c r="S2772"/>
    </row>
    <row r="2773" spans="18:19" x14ac:dyDescent="0.25">
      <c r="R2773"/>
      <c r="S2773"/>
    </row>
    <row r="2774" spans="18:19" x14ac:dyDescent="0.25">
      <c r="R2774"/>
      <c r="S2774"/>
    </row>
    <row r="2775" spans="18:19" x14ac:dyDescent="0.25">
      <c r="R2775"/>
      <c r="S2775"/>
    </row>
    <row r="2776" spans="18:19" x14ac:dyDescent="0.25">
      <c r="R2776"/>
      <c r="S2776"/>
    </row>
    <row r="2777" spans="18:19" x14ac:dyDescent="0.25">
      <c r="R2777"/>
      <c r="S2777"/>
    </row>
    <row r="2778" spans="18:19" x14ac:dyDescent="0.25">
      <c r="R2778"/>
      <c r="S2778"/>
    </row>
    <row r="2779" spans="18:19" x14ac:dyDescent="0.25">
      <c r="R2779"/>
      <c r="S2779"/>
    </row>
    <row r="2780" spans="18:19" x14ac:dyDescent="0.25">
      <c r="R2780"/>
      <c r="S2780"/>
    </row>
    <row r="2781" spans="18:19" x14ac:dyDescent="0.25">
      <c r="R2781"/>
      <c r="S2781"/>
    </row>
    <row r="2782" spans="18:19" x14ac:dyDescent="0.25">
      <c r="R2782"/>
      <c r="S2782"/>
    </row>
    <row r="2783" spans="18:19" x14ac:dyDescent="0.25">
      <c r="R2783"/>
      <c r="S2783"/>
    </row>
    <row r="2784" spans="18:19" x14ac:dyDescent="0.25">
      <c r="R2784"/>
      <c r="S2784"/>
    </row>
    <row r="2785" spans="18:19" x14ac:dyDescent="0.25">
      <c r="R2785"/>
      <c r="S2785"/>
    </row>
    <row r="2786" spans="18:19" x14ac:dyDescent="0.25">
      <c r="R2786"/>
      <c r="S2786"/>
    </row>
    <row r="2787" spans="18:19" x14ac:dyDescent="0.25">
      <c r="R2787"/>
      <c r="S2787"/>
    </row>
    <row r="2788" spans="18:19" x14ac:dyDescent="0.25">
      <c r="R2788"/>
      <c r="S2788"/>
    </row>
    <row r="2789" spans="18:19" x14ac:dyDescent="0.25">
      <c r="R2789"/>
      <c r="S2789"/>
    </row>
    <row r="2790" spans="18:19" x14ac:dyDescent="0.25">
      <c r="R2790"/>
      <c r="S2790"/>
    </row>
    <row r="2791" spans="18:19" x14ac:dyDescent="0.25">
      <c r="R2791"/>
      <c r="S2791"/>
    </row>
    <row r="2792" spans="18:19" x14ac:dyDescent="0.25">
      <c r="R2792"/>
      <c r="S2792"/>
    </row>
    <row r="2793" spans="18:19" x14ac:dyDescent="0.25">
      <c r="R2793"/>
      <c r="S2793"/>
    </row>
    <row r="2794" spans="18:19" x14ac:dyDescent="0.25">
      <c r="R2794"/>
      <c r="S2794"/>
    </row>
    <row r="2795" spans="18:19" x14ac:dyDescent="0.25">
      <c r="R2795"/>
      <c r="S2795"/>
    </row>
    <row r="2796" spans="18:19" x14ac:dyDescent="0.25">
      <c r="R2796"/>
      <c r="S2796"/>
    </row>
    <row r="2797" spans="18:19" x14ac:dyDescent="0.25">
      <c r="R2797"/>
      <c r="S2797"/>
    </row>
    <row r="2798" spans="18:19" x14ac:dyDescent="0.25">
      <c r="R2798"/>
      <c r="S2798"/>
    </row>
    <row r="2799" spans="18:19" x14ac:dyDescent="0.25">
      <c r="R2799"/>
      <c r="S2799"/>
    </row>
    <row r="2800" spans="18:19" x14ac:dyDescent="0.25">
      <c r="R2800"/>
      <c r="S2800"/>
    </row>
    <row r="2801" spans="18:19" x14ac:dyDescent="0.25">
      <c r="R2801"/>
      <c r="S2801"/>
    </row>
    <row r="2802" spans="18:19" x14ac:dyDescent="0.25">
      <c r="R2802"/>
      <c r="S2802"/>
    </row>
    <row r="2803" spans="18:19" x14ac:dyDescent="0.25">
      <c r="R2803"/>
      <c r="S2803"/>
    </row>
    <row r="2804" spans="18:19" x14ac:dyDescent="0.25">
      <c r="R2804"/>
      <c r="S2804"/>
    </row>
    <row r="2805" spans="18:19" x14ac:dyDescent="0.25">
      <c r="R2805"/>
      <c r="S2805"/>
    </row>
    <row r="2806" spans="18:19" x14ac:dyDescent="0.25">
      <c r="R2806"/>
      <c r="S2806"/>
    </row>
    <row r="2807" spans="18:19" x14ac:dyDescent="0.25">
      <c r="R2807"/>
      <c r="S2807"/>
    </row>
    <row r="2808" spans="18:19" x14ac:dyDescent="0.25">
      <c r="R2808"/>
      <c r="S2808"/>
    </row>
    <row r="2809" spans="18:19" x14ac:dyDescent="0.25">
      <c r="R2809"/>
      <c r="S2809"/>
    </row>
    <row r="2810" spans="18:19" x14ac:dyDescent="0.25">
      <c r="R2810"/>
      <c r="S2810"/>
    </row>
    <row r="2811" spans="18:19" x14ac:dyDescent="0.25">
      <c r="R2811"/>
      <c r="S2811"/>
    </row>
    <row r="2812" spans="18:19" x14ac:dyDescent="0.25">
      <c r="R2812"/>
      <c r="S2812"/>
    </row>
    <row r="2813" spans="18:19" x14ac:dyDescent="0.25">
      <c r="R2813"/>
      <c r="S2813"/>
    </row>
    <row r="2814" spans="18:19" x14ac:dyDescent="0.25">
      <c r="R2814"/>
      <c r="S2814"/>
    </row>
    <row r="2815" spans="18:19" x14ac:dyDescent="0.25">
      <c r="R2815"/>
      <c r="S2815"/>
    </row>
    <row r="2816" spans="18:19" x14ac:dyDescent="0.25">
      <c r="R2816"/>
      <c r="S2816"/>
    </row>
    <row r="2817" spans="18:19" x14ac:dyDescent="0.25">
      <c r="R2817"/>
      <c r="S2817"/>
    </row>
    <row r="2818" spans="18:19" x14ac:dyDescent="0.25">
      <c r="R2818"/>
      <c r="S2818"/>
    </row>
    <row r="2819" spans="18:19" x14ac:dyDescent="0.25">
      <c r="R2819"/>
      <c r="S2819"/>
    </row>
    <row r="2820" spans="18:19" x14ac:dyDescent="0.25">
      <c r="R2820"/>
      <c r="S2820"/>
    </row>
    <row r="2821" spans="18:19" x14ac:dyDescent="0.25">
      <c r="R2821"/>
      <c r="S2821"/>
    </row>
    <row r="2822" spans="18:19" x14ac:dyDescent="0.25">
      <c r="R2822"/>
      <c r="S2822"/>
    </row>
    <row r="2823" spans="18:19" x14ac:dyDescent="0.25">
      <c r="R2823"/>
      <c r="S2823"/>
    </row>
    <row r="2824" spans="18:19" x14ac:dyDescent="0.25">
      <c r="R2824"/>
      <c r="S2824"/>
    </row>
    <row r="2825" spans="18:19" x14ac:dyDescent="0.25">
      <c r="R2825"/>
      <c r="S2825"/>
    </row>
    <row r="2826" spans="18:19" x14ac:dyDescent="0.25">
      <c r="R2826"/>
      <c r="S2826"/>
    </row>
    <row r="2827" spans="18:19" x14ac:dyDescent="0.25">
      <c r="R2827"/>
      <c r="S2827"/>
    </row>
    <row r="2828" spans="18:19" x14ac:dyDescent="0.25">
      <c r="R2828"/>
      <c r="S2828"/>
    </row>
    <row r="2829" spans="18:19" x14ac:dyDescent="0.25">
      <c r="R2829"/>
      <c r="S2829"/>
    </row>
    <row r="2830" spans="18:19" x14ac:dyDescent="0.25">
      <c r="R2830"/>
      <c r="S2830"/>
    </row>
    <row r="2831" spans="18:19" x14ac:dyDescent="0.25">
      <c r="R2831"/>
      <c r="S2831"/>
    </row>
    <row r="2832" spans="18:19" x14ac:dyDescent="0.25">
      <c r="R2832"/>
      <c r="S2832"/>
    </row>
    <row r="2833" spans="18:19" x14ac:dyDescent="0.25">
      <c r="R2833"/>
      <c r="S2833"/>
    </row>
    <row r="2834" spans="18:19" x14ac:dyDescent="0.25">
      <c r="R2834"/>
      <c r="S2834"/>
    </row>
    <row r="2835" spans="18:19" x14ac:dyDescent="0.25">
      <c r="R2835"/>
      <c r="S2835"/>
    </row>
    <row r="2836" spans="18:19" x14ac:dyDescent="0.25">
      <c r="R2836"/>
      <c r="S2836"/>
    </row>
    <row r="2837" spans="18:19" x14ac:dyDescent="0.25">
      <c r="R2837"/>
      <c r="S2837"/>
    </row>
    <row r="2838" spans="18:19" x14ac:dyDescent="0.25">
      <c r="R2838"/>
      <c r="S2838"/>
    </row>
    <row r="2839" spans="18:19" x14ac:dyDescent="0.25">
      <c r="R2839"/>
      <c r="S2839"/>
    </row>
    <row r="2840" spans="18:19" x14ac:dyDescent="0.25">
      <c r="R2840"/>
      <c r="S2840"/>
    </row>
    <row r="2841" spans="18:19" x14ac:dyDescent="0.25">
      <c r="R2841"/>
      <c r="S2841"/>
    </row>
    <row r="2842" spans="18:19" x14ac:dyDescent="0.25">
      <c r="R2842"/>
      <c r="S2842"/>
    </row>
    <row r="2843" spans="18:19" x14ac:dyDescent="0.25">
      <c r="R2843"/>
      <c r="S2843"/>
    </row>
    <row r="2844" spans="18:19" x14ac:dyDescent="0.25">
      <c r="R2844"/>
      <c r="S2844"/>
    </row>
    <row r="2845" spans="18:19" x14ac:dyDescent="0.25">
      <c r="R2845"/>
      <c r="S2845"/>
    </row>
    <row r="2846" spans="18:19" x14ac:dyDescent="0.25">
      <c r="R2846"/>
      <c r="S2846"/>
    </row>
    <row r="2847" spans="18:19" x14ac:dyDescent="0.25">
      <c r="R2847"/>
      <c r="S2847"/>
    </row>
    <row r="2848" spans="18:19" x14ac:dyDescent="0.25">
      <c r="R2848"/>
      <c r="S2848"/>
    </row>
    <row r="2849" spans="18:19" x14ac:dyDescent="0.25">
      <c r="R2849"/>
      <c r="S2849"/>
    </row>
    <row r="2850" spans="18:19" x14ac:dyDescent="0.25">
      <c r="R2850"/>
      <c r="S2850"/>
    </row>
    <row r="2851" spans="18:19" x14ac:dyDescent="0.25">
      <c r="R2851"/>
      <c r="S2851"/>
    </row>
    <row r="2852" spans="18:19" x14ac:dyDescent="0.25">
      <c r="R2852"/>
      <c r="S2852"/>
    </row>
    <row r="2853" spans="18:19" x14ac:dyDescent="0.25">
      <c r="R2853"/>
      <c r="S2853"/>
    </row>
    <row r="2854" spans="18:19" x14ac:dyDescent="0.25">
      <c r="R2854"/>
      <c r="S2854"/>
    </row>
    <row r="2855" spans="18:19" x14ac:dyDescent="0.25">
      <c r="R2855"/>
      <c r="S2855"/>
    </row>
    <row r="2856" spans="18:19" x14ac:dyDescent="0.25">
      <c r="R2856"/>
      <c r="S2856"/>
    </row>
    <row r="2857" spans="18:19" x14ac:dyDescent="0.25">
      <c r="R2857"/>
      <c r="S2857"/>
    </row>
    <row r="2858" spans="18:19" x14ac:dyDescent="0.25">
      <c r="R2858"/>
      <c r="S2858"/>
    </row>
    <row r="2859" spans="18:19" x14ac:dyDescent="0.25">
      <c r="R2859"/>
      <c r="S2859"/>
    </row>
    <row r="2860" spans="18:19" x14ac:dyDescent="0.25">
      <c r="R2860"/>
      <c r="S2860"/>
    </row>
    <row r="2861" spans="18:19" x14ac:dyDescent="0.25">
      <c r="R2861"/>
      <c r="S2861"/>
    </row>
    <row r="2862" spans="18:19" x14ac:dyDescent="0.25">
      <c r="R2862"/>
      <c r="S2862"/>
    </row>
    <row r="2863" spans="18:19" x14ac:dyDescent="0.25">
      <c r="R2863"/>
      <c r="S2863"/>
    </row>
    <row r="2864" spans="18:19" x14ac:dyDescent="0.25">
      <c r="R2864"/>
      <c r="S2864"/>
    </row>
    <row r="2865" spans="18:19" x14ac:dyDescent="0.25">
      <c r="R2865"/>
      <c r="S2865"/>
    </row>
    <row r="2866" spans="18:19" x14ac:dyDescent="0.25">
      <c r="R2866"/>
      <c r="S2866"/>
    </row>
    <row r="2867" spans="18:19" x14ac:dyDescent="0.25">
      <c r="R2867"/>
      <c r="S2867"/>
    </row>
    <row r="2868" spans="18:19" x14ac:dyDescent="0.25">
      <c r="R2868"/>
      <c r="S2868"/>
    </row>
    <row r="2869" spans="18:19" x14ac:dyDescent="0.25">
      <c r="R2869"/>
      <c r="S2869"/>
    </row>
    <row r="2870" spans="18:19" x14ac:dyDescent="0.25">
      <c r="R2870"/>
      <c r="S2870"/>
    </row>
    <row r="2871" spans="18:19" x14ac:dyDescent="0.25">
      <c r="R2871"/>
      <c r="S2871"/>
    </row>
    <row r="2872" spans="18:19" x14ac:dyDescent="0.25">
      <c r="R2872"/>
      <c r="S2872"/>
    </row>
    <row r="2873" spans="18:19" x14ac:dyDescent="0.25">
      <c r="R2873"/>
      <c r="S2873"/>
    </row>
    <row r="2874" spans="18:19" x14ac:dyDescent="0.25">
      <c r="R2874"/>
      <c r="S2874"/>
    </row>
    <row r="2875" spans="18:19" x14ac:dyDescent="0.25">
      <c r="R2875"/>
      <c r="S2875"/>
    </row>
    <row r="2876" spans="18:19" x14ac:dyDescent="0.25">
      <c r="R2876"/>
      <c r="S2876"/>
    </row>
    <row r="2877" spans="18:19" x14ac:dyDescent="0.25">
      <c r="R2877"/>
      <c r="S2877"/>
    </row>
    <row r="2878" spans="18:19" x14ac:dyDescent="0.25">
      <c r="R2878"/>
      <c r="S2878"/>
    </row>
    <row r="2879" spans="18:19" x14ac:dyDescent="0.25">
      <c r="R2879"/>
      <c r="S2879"/>
    </row>
    <row r="2880" spans="18:19" x14ac:dyDescent="0.25">
      <c r="R2880"/>
      <c r="S2880"/>
    </row>
    <row r="2881" spans="18:19" x14ac:dyDescent="0.25">
      <c r="R2881"/>
      <c r="S2881"/>
    </row>
    <row r="2882" spans="18:19" x14ac:dyDescent="0.25">
      <c r="R2882"/>
      <c r="S2882"/>
    </row>
    <row r="2883" spans="18:19" x14ac:dyDescent="0.25">
      <c r="R2883"/>
      <c r="S2883"/>
    </row>
    <row r="2884" spans="18:19" x14ac:dyDescent="0.25">
      <c r="R2884"/>
      <c r="S2884"/>
    </row>
    <row r="2885" spans="18:19" x14ac:dyDescent="0.25">
      <c r="R2885"/>
      <c r="S2885"/>
    </row>
    <row r="2886" spans="18:19" x14ac:dyDescent="0.25">
      <c r="R2886"/>
      <c r="S2886"/>
    </row>
    <row r="2887" spans="18:19" x14ac:dyDescent="0.25">
      <c r="R2887"/>
      <c r="S2887"/>
    </row>
    <row r="2888" spans="18:19" x14ac:dyDescent="0.25">
      <c r="R2888"/>
      <c r="S2888"/>
    </row>
    <row r="2889" spans="18:19" x14ac:dyDescent="0.25">
      <c r="R2889"/>
      <c r="S2889"/>
    </row>
    <row r="2890" spans="18:19" x14ac:dyDescent="0.25">
      <c r="R2890"/>
      <c r="S2890"/>
    </row>
    <row r="2891" spans="18:19" x14ac:dyDescent="0.25">
      <c r="R2891"/>
      <c r="S2891"/>
    </row>
    <row r="2892" spans="18:19" x14ac:dyDescent="0.25">
      <c r="R2892"/>
      <c r="S2892"/>
    </row>
    <row r="2893" spans="18:19" x14ac:dyDescent="0.25">
      <c r="R2893"/>
      <c r="S2893"/>
    </row>
    <row r="2894" spans="18:19" x14ac:dyDescent="0.25">
      <c r="R2894"/>
      <c r="S2894"/>
    </row>
    <row r="2895" spans="18:19" x14ac:dyDescent="0.25">
      <c r="R2895"/>
      <c r="S2895"/>
    </row>
    <row r="2896" spans="18:19" x14ac:dyDescent="0.25">
      <c r="R2896"/>
      <c r="S2896"/>
    </row>
    <row r="2897" spans="18:19" x14ac:dyDescent="0.25">
      <c r="R2897"/>
      <c r="S2897"/>
    </row>
    <row r="2898" spans="18:19" x14ac:dyDescent="0.25">
      <c r="R2898"/>
      <c r="S2898"/>
    </row>
    <row r="2899" spans="18:19" x14ac:dyDescent="0.25">
      <c r="R2899"/>
      <c r="S2899"/>
    </row>
    <row r="2900" spans="18:19" x14ac:dyDescent="0.25">
      <c r="R2900"/>
      <c r="S2900"/>
    </row>
    <row r="2901" spans="18:19" x14ac:dyDescent="0.25">
      <c r="R2901"/>
      <c r="S2901"/>
    </row>
    <row r="2902" spans="18:19" x14ac:dyDescent="0.25">
      <c r="R2902"/>
      <c r="S2902"/>
    </row>
    <row r="2903" spans="18:19" x14ac:dyDescent="0.25">
      <c r="R2903"/>
      <c r="S2903"/>
    </row>
    <row r="2904" spans="18:19" x14ac:dyDescent="0.25">
      <c r="R2904"/>
      <c r="S2904"/>
    </row>
    <row r="2905" spans="18:19" x14ac:dyDescent="0.25">
      <c r="R2905"/>
      <c r="S2905"/>
    </row>
    <row r="2906" spans="18:19" x14ac:dyDescent="0.25">
      <c r="R2906"/>
      <c r="S2906"/>
    </row>
    <row r="2907" spans="18:19" x14ac:dyDescent="0.25">
      <c r="R2907"/>
      <c r="S2907"/>
    </row>
    <row r="2908" spans="18:19" x14ac:dyDescent="0.25">
      <c r="R2908"/>
      <c r="S2908"/>
    </row>
    <row r="2909" spans="18:19" x14ac:dyDescent="0.25">
      <c r="R2909"/>
      <c r="S2909"/>
    </row>
    <row r="2910" spans="18:19" x14ac:dyDescent="0.25">
      <c r="R2910"/>
      <c r="S2910"/>
    </row>
    <row r="2911" spans="18:19" x14ac:dyDescent="0.25">
      <c r="R2911"/>
      <c r="S2911"/>
    </row>
    <row r="2912" spans="18:19" x14ac:dyDescent="0.25">
      <c r="R2912"/>
      <c r="S2912"/>
    </row>
    <row r="2913" spans="18:19" x14ac:dyDescent="0.25">
      <c r="R2913"/>
      <c r="S2913"/>
    </row>
    <row r="2914" spans="18:19" x14ac:dyDescent="0.25">
      <c r="R2914"/>
      <c r="S2914"/>
    </row>
    <row r="2915" spans="18:19" x14ac:dyDescent="0.25">
      <c r="R2915"/>
      <c r="S2915"/>
    </row>
    <row r="2916" spans="18:19" x14ac:dyDescent="0.25">
      <c r="R2916"/>
      <c r="S2916"/>
    </row>
    <row r="2917" spans="18:19" x14ac:dyDescent="0.25">
      <c r="R2917"/>
      <c r="S2917"/>
    </row>
    <row r="2918" spans="18:19" x14ac:dyDescent="0.25">
      <c r="R2918"/>
      <c r="S2918"/>
    </row>
    <row r="2919" spans="18:19" x14ac:dyDescent="0.25">
      <c r="R2919"/>
      <c r="S2919"/>
    </row>
    <row r="2920" spans="18:19" x14ac:dyDescent="0.25">
      <c r="R2920"/>
      <c r="S2920"/>
    </row>
    <row r="2921" spans="18:19" x14ac:dyDescent="0.25">
      <c r="R2921"/>
      <c r="S2921"/>
    </row>
    <row r="2922" spans="18:19" x14ac:dyDescent="0.25">
      <c r="R2922"/>
      <c r="S2922"/>
    </row>
    <row r="2923" spans="18:19" x14ac:dyDescent="0.25">
      <c r="R2923"/>
      <c r="S2923"/>
    </row>
    <row r="2924" spans="18:19" x14ac:dyDescent="0.25">
      <c r="R2924"/>
      <c r="S2924"/>
    </row>
    <row r="2925" spans="18:19" x14ac:dyDescent="0.25">
      <c r="R2925"/>
      <c r="S2925"/>
    </row>
    <row r="2926" spans="18:19" x14ac:dyDescent="0.25">
      <c r="R2926"/>
      <c r="S2926"/>
    </row>
    <row r="2927" spans="18:19" x14ac:dyDescent="0.25">
      <c r="R2927"/>
      <c r="S2927"/>
    </row>
    <row r="2928" spans="18:19" x14ac:dyDescent="0.25">
      <c r="R2928"/>
      <c r="S2928"/>
    </row>
    <row r="2929" spans="18:19" x14ac:dyDescent="0.25">
      <c r="R2929"/>
      <c r="S2929"/>
    </row>
    <row r="2930" spans="18:19" x14ac:dyDescent="0.25">
      <c r="R2930"/>
      <c r="S2930"/>
    </row>
    <row r="2931" spans="18:19" x14ac:dyDescent="0.25">
      <c r="R2931"/>
      <c r="S2931"/>
    </row>
    <row r="2932" spans="18:19" x14ac:dyDescent="0.25">
      <c r="R2932"/>
      <c r="S2932"/>
    </row>
    <row r="2933" spans="18:19" x14ac:dyDescent="0.25">
      <c r="R2933"/>
      <c r="S2933"/>
    </row>
    <row r="2934" spans="18:19" x14ac:dyDescent="0.25">
      <c r="R2934"/>
      <c r="S2934"/>
    </row>
    <row r="2935" spans="18:19" x14ac:dyDescent="0.25">
      <c r="R2935"/>
      <c r="S2935"/>
    </row>
    <row r="2936" spans="18:19" x14ac:dyDescent="0.25">
      <c r="R2936"/>
      <c r="S2936"/>
    </row>
    <row r="2937" spans="18:19" x14ac:dyDescent="0.25">
      <c r="R2937"/>
      <c r="S2937"/>
    </row>
    <row r="2938" spans="18:19" x14ac:dyDescent="0.25">
      <c r="R2938"/>
      <c r="S2938"/>
    </row>
    <row r="2939" spans="18:19" x14ac:dyDescent="0.25">
      <c r="R2939"/>
      <c r="S2939"/>
    </row>
    <row r="2940" spans="18:19" x14ac:dyDescent="0.25">
      <c r="R2940"/>
      <c r="S2940"/>
    </row>
    <row r="2941" spans="18:19" x14ac:dyDescent="0.25">
      <c r="R2941"/>
      <c r="S2941"/>
    </row>
    <row r="2942" spans="18:19" x14ac:dyDescent="0.25">
      <c r="R2942"/>
      <c r="S2942"/>
    </row>
    <row r="2943" spans="18:19" x14ac:dyDescent="0.25">
      <c r="R2943"/>
      <c r="S2943"/>
    </row>
    <row r="2944" spans="18:19" x14ac:dyDescent="0.25">
      <c r="R2944"/>
      <c r="S2944"/>
    </row>
    <row r="2945" spans="18:19" x14ac:dyDescent="0.25">
      <c r="R2945"/>
      <c r="S2945"/>
    </row>
    <row r="2946" spans="18:19" x14ac:dyDescent="0.25">
      <c r="R2946"/>
      <c r="S2946"/>
    </row>
    <row r="2947" spans="18:19" x14ac:dyDescent="0.25">
      <c r="R2947"/>
      <c r="S2947"/>
    </row>
    <row r="2948" spans="18:19" x14ac:dyDescent="0.25">
      <c r="R2948"/>
      <c r="S2948"/>
    </row>
    <row r="2949" spans="18:19" x14ac:dyDescent="0.25">
      <c r="R2949"/>
      <c r="S2949"/>
    </row>
    <row r="2950" spans="18:19" x14ac:dyDescent="0.25">
      <c r="R2950"/>
      <c r="S2950"/>
    </row>
    <row r="2951" spans="18:19" x14ac:dyDescent="0.25">
      <c r="R2951"/>
      <c r="S2951"/>
    </row>
    <row r="2952" spans="18:19" x14ac:dyDescent="0.25">
      <c r="R2952"/>
      <c r="S2952"/>
    </row>
    <row r="2953" spans="18:19" x14ac:dyDescent="0.25">
      <c r="R2953"/>
      <c r="S2953"/>
    </row>
    <row r="2954" spans="18:19" x14ac:dyDescent="0.25">
      <c r="R2954"/>
      <c r="S2954"/>
    </row>
    <row r="2955" spans="18:19" x14ac:dyDescent="0.25">
      <c r="R2955"/>
      <c r="S2955"/>
    </row>
    <row r="2956" spans="18:19" x14ac:dyDescent="0.25">
      <c r="R2956"/>
      <c r="S2956"/>
    </row>
    <row r="2957" spans="18:19" x14ac:dyDescent="0.25">
      <c r="R2957"/>
      <c r="S2957"/>
    </row>
    <row r="2958" spans="18:19" x14ac:dyDescent="0.25">
      <c r="R2958"/>
      <c r="S2958"/>
    </row>
    <row r="2959" spans="18:19" x14ac:dyDescent="0.25">
      <c r="R2959"/>
      <c r="S2959"/>
    </row>
    <row r="2960" spans="18:19" x14ac:dyDescent="0.25">
      <c r="R2960"/>
      <c r="S2960"/>
    </row>
    <row r="2961" spans="18:19" x14ac:dyDescent="0.25">
      <c r="R2961"/>
      <c r="S2961"/>
    </row>
    <row r="2962" spans="18:19" x14ac:dyDescent="0.25">
      <c r="R2962"/>
      <c r="S2962"/>
    </row>
    <row r="2963" spans="18:19" x14ac:dyDescent="0.25">
      <c r="R2963"/>
      <c r="S2963"/>
    </row>
    <row r="2964" spans="18:19" x14ac:dyDescent="0.25">
      <c r="R2964"/>
      <c r="S2964"/>
    </row>
    <row r="2965" spans="18:19" x14ac:dyDescent="0.25">
      <c r="R2965"/>
      <c r="S2965"/>
    </row>
    <row r="2966" spans="18:19" x14ac:dyDescent="0.25">
      <c r="R2966"/>
      <c r="S2966"/>
    </row>
    <row r="2967" spans="18:19" x14ac:dyDescent="0.25">
      <c r="R2967"/>
      <c r="S2967"/>
    </row>
    <row r="2968" spans="18:19" x14ac:dyDescent="0.25">
      <c r="R2968"/>
      <c r="S2968"/>
    </row>
    <row r="2969" spans="18:19" x14ac:dyDescent="0.25">
      <c r="R2969"/>
      <c r="S2969"/>
    </row>
    <row r="2970" spans="18:19" x14ac:dyDescent="0.25">
      <c r="R2970"/>
      <c r="S2970"/>
    </row>
    <row r="2971" spans="18:19" x14ac:dyDescent="0.25">
      <c r="R2971"/>
      <c r="S2971"/>
    </row>
    <row r="2972" spans="18:19" x14ac:dyDescent="0.25">
      <c r="R2972"/>
      <c r="S2972"/>
    </row>
    <row r="2973" spans="18:19" x14ac:dyDescent="0.25">
      <c r="R2973"/>
      <c r="S2973"/>
    </row>
    <row r="2974" spans="18:19" x14ac:dyDescent="0.25">
      <c r="R2974"/>
      <c r="S2974"/>
    </row>
    <row r="2975" spans="18:19" x14ac:dyDescent="0.25">
      <c r="R2975"/>
      <c r="S2975"/>
    </row>
    <row r="2976" spans="18:19" x14ac:dyDescent="0.25">
      <c r="R2976"/>
      <c r="S2976"/>
    </row>
    <row r="2977" spans="18:19" x14ac:dyDescent="0.25">
      <c r="R2977"/>
      <c r="S2977"/>
    </row>
    <row r="2978" spans="18:19" x14ac:dyDescent="0.25">
      <c r="R2978"/>
      <c r="S2978"/>
    </row>
    <row r="2979" spans="18:19" x14ac:dyDescent="0.25">
      <c r="R2979"/>
      <c r="S2979"/>
    </row>
    <row r="2980" spans="18:19" x14ac:dyDescent="0.25">
      <c r="R2980"/>
      <c r="S2980"/>
    </row>
    <row r="2981" spans="18:19" x14ac:dyDescent="0.25">
      <c r="R2981"/>
      <c r="S2981"/>
    </row>
    <row r="2982" spans="18:19" x14ac:dyDescent="0.25">
      <c r="R2982"/>
      <c r="S2982"/>
    </row>
    <row r="2983" spans="18:19" x14ac:dyDescent="0.25">
      <c r="R2983"/>
      <c r="S2983"/>
    </row>
    <row r="2984" spans="18:19" x14ac:dyDescent="0.25">
      <c r="R2984"/>
      <c r="S2984"/>
    </row>
    <row r="2985" spans="18:19" x14ac:dyDescent="0.25">
      <c r="R2985"/>
      <c r="S2985"/>
    </row>
    <row r="2986" spans="18:19" x14ac:dyDescent="0.25">
      <c r="R2986"/>
      <c r="S2986"/>
    </row>
    <row r="2987" spans="18:19" x14ac:dyDescent="0.25">
      <c r="R2987"/>
      <c r="S2987"/>
    </row>
    <row r="2988" spans="18:19" x14ac:dyDescent="0.25">
      <c r="R2988"/>
      <c r="S2988"/>
    </row>
    <row r="2989" spans="18:19" x14ac:dyDescent="0.25">
      <c r="R2989"/>
      <c r="S2989"/>
    </row>
    <row r="2990" spans="18:19" x14ac:dyDescent="0.25">
      <c r="R2990"/>
      <c r="S2990"/>
    </row>
    <row r="2991" spans="18:19" x14ac:dyDescent="0.25">
      <c r="R2991"/>
      <c r="S2991"/>
    </row>
    <row r="2992" spans="18:19" x14ac:dyDescent="0.25">
      <c r="R2992"/>
      <c r="S2992"/>
    </row>
    <row r="2993" spans="18:19" x14ac:dyDescent="0.25">
      <c r="R2993"/>
      <c r="S2993"/>
    </row>
    <row r="2994" spans="18:19" x14ac:dyDescent="0.25">
      <c r="R2994"/>
      <c r="S2994"/>
    </row>
    <row r="2995" spans="18:19" x14ac:dyDescent="0.25">
      <c r="R2995"/>
      <c r="S2995"/>
    </row>
    <row r="2996" spans="18:19" x14ac:dyDescent="0.25">
      <c r="R2996"/>
      <c r="S2996"/>
    </row>
    <row r="2997" spans="18:19" x14ac:dyDescent="0.25">
      <c r="R2997"/>
      <c r="S2997"/>
    </row>
    <row r="2998" spans="18:19" x14ac:dyDescent="0.25">
      <c r="R2998"/>
      <c r="S2998"/>
    </row>
    <row r="2999" spans="18:19" x14ac:dyDescent="0.25">
      <c r="R2999"/>
      <c r="S2999"/>
    </row>
    <row r="3000" spans="18:19" x14ac:dyDescent="0.25">
      <c r="R3000"/>
      <c r="S3000"/>
    </row>
    <row r="3001" spans="18:19" x14ac:dyDescent="0.25">
      <c r="R3001"/>
      <c r="S3001"/>
    </row>
    <row r="3002" spans="18:19" x14ac:dyDescent="0.25">
      <c r="R3002"/>
      <c r="S3002"/>
    </row>
    <row r="3003" spans="18:19" x14ac:dyDescent="0.25">
      <c r="R3003"/>
      <c r="S3003"/>
    </row>
    <row r="3004" spans="18:19" x14ac:dyDescent="0.25">
      <c r="R3004"/>
      <c r="S3004"/>
    </row>
    <row r="3005" spans="18:19" x14ac:dyDescent="0.25">
      <c r="R3005"/>
      <c r="S3005"/>
    </row>
    <row r="3006" spans="18:19" x14ac:dyDescent="0.25">
      <c r="R3006"/>
      <c r="S3006"/>
    </row>
    <row r="3007" spans="18:19" x14ac:dyDescent="0.25">
      <c r="R3007"/>
      <c r="S3007"/>
    </row>
    <row r="3008" spans="18:19" x14ac:dyDescent="0.25">
      <c r="R3008"/>
      <c r="S3008"/>
    </row>
    <row r="3009" spans="18:19" x14ac:dyDescent="0.25">
      <c r="R3009"/>
      <c r="S3009"/>
    </row>
    <row r="3010" spans="18:19" x14ac:dyDescent="0.25">
      <c r="R3010"/>
      <c r="S3010"/>
    </row>
    <row r="3011" spans="18:19" x14ac:dyDescent="0.25">
      <c r="R3011"/>
      <c r="S3011"/>
    </row>
    <row r="3012" spans="18:19" x14ac:dyDescent="0.25">
      <c r="R3012"/>
      <c r="S3012"/>
    </row>
    <row r="3013" spans="18:19" x14ac:dyDescent="0.25">
      <c r="R3013"/>
      <c r="S3013"/>
    </row>
    <row r="3014" spans="18:19" x14ac:dyDescent="0.25">
      <c r="R3014"/>
      <c r="S3014"/>
    </row>
    <row r="3015" spans="18:19" x14ac:dyDescent="0.25">
      <c r="R3015"/>
      <c r="S3015"/>
    </row>
    <row r="3016" spans="18:19" x14ac:dyDescent="0.25">
      <c r="R3016"/>
      <c r="S3016"/>
    </row>
    <row r="3017" spans="18:19" x14ac:dyDescent="0.25">
      <c r="R3017"/>
      <c r="S3017"/>
    </row>
    <row r="3018" spans="18:19" x14ac:dyDescent="0.25">
      <c r="R3018"/>
      <c r="S3018"/>
    </row>
    <row r="3019" spans="18:19" x14ac:dyDescent="0.25">
      <c r="R3019"/>
      <c r="S3019"/>
    </row>
    <row r="3020" spans="18:19" x14ac:dyDescent="0.25">
      <c r="R3020"/>
      <c r="S3020"/>
    </row>
    <row r="3021" spans="18:19" x14ac:dyDescent="0.25">
      <c r="R3021"/>
      <c r="S3021"/>
    </row>
    <row r="3022" spans="18:19" x14ac:dyDescent="0.25">
      <c r="R3022"/>
      <c r="S3022"/>
    </row>
    <row r="3023" spans="18:19" x14ac:dyDescent="0.25">
      <c r="R3023"/>
      <c r="S3023"/>
    </row>
    <row r="3024" spans="18:19" x14ac:dyDescent="0.25">
      <c r="R3024"/>
      <c r="S3024"/>
    </row>
    <row r="3025" spans="18:19" x14ac:dyDescent="0.25">
      <c r="R3025"/>
      <c r="S3025"/>
    </row>
    <row r="3026" spans="18:19" x14ac:dyDescent="0.25">
      <c r="R3026"/>
      <c r="S3026"/>
    </row>
    <row r="3027" spans="18:19" x14ac:dyDescent="0.25">
      <c r="R3027"/>
      <c r="S3027"/>
    </row>
    <row r="3028" spans="18:19" x14ac:dyDescent="0.25">
      <c r="R3028"/>
      <c r="S3028"/>
    </row>
    <row r="3029" spans="18:19" x14ac:dyDescent="0.25">
      <c r="R3029"/>
      <c r="S3029"/>
    </row>
    <row r="3030" spans="18:19" x14ac:dyDescent="0.25">
      <c r="R3030"/>
      <c r="S3030"/>
    </row>
    <row r="3031" spans="18:19" x14ac:dyDescent="0.25">
      <c r="R3031"/>
      <c r="S3031"/>
    </row>
    <row r="3032" spans="18:19" x14ac:dyDescent="0.25">
      <c r="R3032"/>
      <c r="S3032"/>
    </row>
    <row r="3033" spans="18:19" x14ac:dyDescent="0.25">
      <c r="R3033"/>
      <c r="S3033"/>
    </row>
    <row r="3034" spans="18:19" x14ac:dyDescent="0.25">
      <c r="R3034"/>
      <c r="S3034"/>
    </row>
    <row r="3035" spans="18:19" x14ac:dyDescent="0.25">
      <c r="R3035"/>
      <c r="S3035"/>
    </row>
    <row r="3036" spans="18:19" x14ac:dyDescent="0.25">
      <c r="R3036"/>
      <c r="S3036"/>
    </row>
    <row r="3037" spans="18:19" x14ac:dyDescent="0.25">
      <c r="R3037"/>
      <c r="S3037"/>
    </row>
    <row r="3038" spans="18:19" x14ac:dyDescent="0.25">
      <c r="R3038"/>
      <c r="S3038"/>
    </row>
    <row r="3039" spans="18:19" x14ac:dyDescent="0.25">
      <c r="R3039"/>
      <c r="S3039"/>
    </row>
    <row r="3040" spans="18:19" x14ac:dyDescent="0.25">
      <c r="R3040"/>
      <c r="S3040"/>
    </row>
    <row r="3041" spans="18:19" x14ac:dyDescent="0.25">
      <c r="R3041"/>
      <c r="S3041"/>
    </row>
    <row r="3042" spans="18:19" x14ac:dyDescent="0.25">
      <c r="R3042"/>
      <c r="S3042"/>
    </row>
    <row r="3043" spans="18:19" x14ac:dyDescent="0.25">
      <c r="R3043"/>
      <c r="S3043"/>
    </row>
    <row r="3044" spans="18:19" x14ac:dyDescent="0.25">
      <c r="R3044"/>
      <c r="S3044"/>
    </row>
    <row r="3045" spans="18:19" x14ac:dyDescent="0.25">
      <c r="R3045"/>
      <c r="S3045"/>
    </row>
    <row r="3046" spans="18:19" x14ac:dyDescent="0.25">
      <c r="R3046"/>
      <c r="S3046"/>
    </row>
    <row r="3047" spans="18:19" x14ac:dyDescent="0.25">
      <c r="R3047"/>
      <c r="S3047"/>
    </row>
    <row r="3048" spans="18:19" x14ac:dyDescent="0.25">
      <c r="R3048"/>
      <c r="S3048"/>
    </row>
    <row r="3049" spans="18:19" x14ac:dyDescent="0.25">
      <c r="R3049"/>
      <c r="S3049"/>
    </row>
    <row r="3050" spans="18:19" x14ac:dyDescent="0.25">
      <c r="R3050"/>
      <c r="S3050"/>
    </row>
    <row r="3051" spans="18:19" x14ac:dyDescent="0.25">
      <c r="R3051"/>
      <c r="S3051"/>
    </row>
    <row r="3052" spans="18:19" x14ac:dyDescent="0.25">
      <c r="R3052"/>
      <c r="S3052"/>
    </row>
    <row r="3053" spans="18:19" x14ac:dyDescent="0.25">
      <c r="R3053"/>
      <c r="S3053"/>
    </row>
    <row r="3054" spans="18:19" x14ac:dyDescent="0.25">
      <c r="R3054"/>
      <c r="S3054"/>
    </row>
    <row r="3055" spans="18:19" x14ac:dyDescent="0.25">
      <c r="R3055"/>
      <c r="S3055"/>
    </row>
    <row r="3056" spans="18:19" x14ac:dyDescent="0.25">
      <c r="R3056"/>
      <c r="S3056"/>
    </row>
    <row r="3057" spans="18:19" x14ac:dyDescent="0.25">
      <c r="R3057"/>
      <c r="S3057"/>
    </row>
    <row r="3058" spans="18:19" x14ac:dyDescent="0.25">
      <c r="R3058"/>
      <c r="S3058"/>
    </row>
    <row r="3059" spans="18:19" x14ac:dyDescent="0.25">
      <c r="R3059"/>
      <c r="S3059"/>
    </row>
    <row r="3060" spans="18:19" x14ac:dyDescent="0.25">
      <c r="R3060"/>
      <c r="S3060"/>
    </row>
    <row r="3061" spans="18:19" x14ac:dyDescent="0.25">
      <c r="R3061"/>
      <c r="S3061"/>
    </row>
    <row r="3062" spans="18:19" x14ac:dyDescent="0.25">
      <c r="R3062"/>
      <c r="S3062"/>
    </row>
    <row r="3063" spans="18:19" x14ac:dyDescent="0.25">
      <c r="R3063"/>
      <c r="S3063"/>
    </row>
    <row r="3064" spans="18:19" x14ac:dyDescent="0.25">
      <c r="R3064"/>
      <c r="S3064"/>
    </row>
    <row r="3065" spans="18:19" x14ac:dyDescent="0.25">
      <c r="R3065"/>
      <c r="S3065"/>
    </row>
    <row r="3066" spans="18:19" x14ac:dyDescent="0.25">
      <c r="R3066"/>
      <c r="S3066"/>
    </row>
    <row r="3067" spans="18:19" x14ac:dyDescent="0.25">
      <c r="R3067"/>
      <c r="S3067"/>
    </row>
    <row r="3068" spans="18:19" x14ac:dyDescent="0.25">
      <c r="R3068"/>
      <c r="S3068"/>
    </row>
    <row r="3069" spans="18:19" x14ac:dyDescent="0.25">
      <c r="R3069"/>
      <c r="S3069"/>
    </row>
    <row r="3070" spans="18:19" x14ac:dyDescent="0.25">
      <c r="R3070"/>
      <c r="S3070"/>
    </row>
    <row r="3071" spans="18:19" x14ac:dyDescent="0.25">
      <c r="R3071"/>
      <c r="S3071"/>
    </row>
    <row r="3072" spans="18:19" x14ac:dyDescent="0.25">
      <c r="R3072"/>
      <c r="S3072"/>
    </row>
    <row r="3073" spans="18:19" x14ac:dyDescent="0.25">
      <c r="R3073"/>
      <c r="S3073"/>
    </row>
    <row r="3074" spans="18:19" x14ac:dyDescent="0.25">
      <c r="R3074"/>
      <c r="S3074"/>
    </row>
    <row r="3075" spans="18:19" x14ac:dyDescent="0.25">
      <c r="R3075"/>
      <c r="S3075"/>
    </row>
    <row r="3076" spans="18:19" x14ac:dyDescent="0.25">
      <c r="R3076"/>
      <c r="S3076"/>
    </row>
    <row r="3077" spans="18:19" x14ac:dyDescent="0.25">
      <c r="R3077"/>
      <c r="S3077"/>
    </row>
    <row r="3078" spans="18:19" x14ac:dyDescent="0.25">
      <c r="R3078"/>
      <c r="S3078"/>
    </row>
    <row r="3079" spans="18:19" x14ac:dyDescent="0.25">
      <c r="R3079"/>
      <c r="S3079"/>
    </row>
    <row r="3080" spans="18:19" x14ac:dyDescent="0.25">
      <c r="R3080"/>
      <c r="S3080"/>
    </row>
    <row r="3081" spans="18:19" x14ac:dyDescent="0.25">
      <c r="R3081"/>
      <c r="S3081"/>
    </row>
    <row r="3082" spans="18:19" x14ac:dyDescent="0.25">
      <c r="R3082"/>
      <c r="S3082"/>
    </row>
    <row r="3083" spans="18:19" x14ac:dyDescent="0.25">
      <c r="R3083"/>
      <c r="S3083"/>
    </row>
    <row r="3084" spans="18:19" x14ac:dyDescent="0.25">
      <c r="R3084"/>
      <c r="S3084"/>
    </row>
    <row r="3085" spans="18:19" x14ac:dyDescent="0.25">
      <c r="R3085"/>
      <c r="S3085"/>
    </row>
    <row r="3086" spans="18:19" x14ac:dyDescent="0.25">
      <c r="R3086"/>
      <c r="S3086"/>
    </row>
    <row r="3087" spans="18:19" x14ac:dyDescent="0.25">
      <c r="R3087"/>
      <c r="S3087"/>
    </row>
    <row r="3088" spans="18:19" x14ac:dyDescent="0.25">
      <c r="R3088"/>
      <c r="S3088"/>
    </row>
    <row r="3089" spans="18:19" x14ac:dyDescent="0.25">
      <c r="R3089"/>
      <c r="S3089"/>
    </row>
    <row r="3090" spans="18:19" x14ac:dyDescent="0.25">
      <c r="R3090"/>
      <c r="S3090"/>
    </row>
    <row r="3091" spans="18:19" x14ac:dyDescent="0.25">
      <c r="R3091"/>
      <c r="S3091"/>
    </row>
    <row r="3092" spans="18:19" x14ac:dyDescent="0.25">
      <c r="R3092"/>
      <c r="S3092"/>
    </row>
    <row r="3093" spans="18:19" x14ac:dyDescent="0.25">
      <c r="R3093"/>
      <c r="S3093"/>
    </row>
    <row r="3094" spans="18:19" x14ac:dyDescent="0.25">
      <c r="R3094"/>
      <c r="S3094"/>
    </row>
    <row r="3095" spans="18:19" x14ac:dyDescent="0.25">
      <c r="R3095"/>
      <c r="S3095"/>
    </row>
    <row r="3096" spans="18:19" x14ac:dyDescent="0.25">
      <c r="R3096"/>
      <c r="S3096"/>
    </row>
    <row r="3097" spans="18:19" x14ac:dyDescent="0.25">
      <c r="R3097"/>
      <c r="S3097"/>
    </row>
    <row r="3098" spans="18:19" x14ac:dyDescent="0.25">
      <c r="R3098"/>
      <c r="S3098"/>
    </row>
    <row r="3099" spans="18:19" x14ac:dyDescent="0.25">
      <c r="R3099"/>
      <c r="S3099"/>
    </row>
    <row r="3100" spans="18:19" x14ac:dyDescent="0.25">
      <c r="R3100"/>
      <c r="S3100"/>
    </row>
    <row r="3101" spans="18:19" x14ac:dyDescent="0.25">
      <c r="R3101"/>
      <c r="S3101"/>
    </row>
    <row r="3102" spans="18:19" x14ac:dyDescent="0.25">
      <c r="R3102"/>
      <c r="S3102"/>
    </row>
    <row r="3103" spans="18:19" x14ac:dyDescent="0.25">
      <c r="R3103"/>
      <c r="S3103"/>
    </row>
    <row r="3104" spans="18:19" x14ac:dyDescent="0.25">
      <c r="R3104"/>
      <c r="S3104"/>
    </row>
    <row r="3105" spans="18:19" x14ac:dyDescent="0.25">
      <c r="R3105"/>
      <c r="S3105"/>
    </row>
    <row r="3106" spans="18:19" x14ac:dyDescent="0.25">
      <c r="R3106"/>
      <c r="S3106"/>
    </row>
    <row r="3107" spans="18:19" x14ac:dyDescent="0.25">
      <c r="R3107"/>
      <c r="S3107"/>
    </row>
    <row r="3108" spans="18:19" x14ac:dyDescent="0.25">
      <c r="R3108"/>
      <c r="S3108"/>
    </row>
    <row r="3109" spans="18:19" x14ac:dyDescent="0.25">
      <c r="R3109"/>
      <c r="S3109"/>
    </row>
    <row r="3110" spans="18:19" x14ac:dyDescent="0.25">
      <c r="R3110"/>
      <c r="S3110"/>
    </row>
    <row r="3111" spans="18:19" x14ac:dyDescent="0.25">
      <c r="R3111"/>
      <c r="S3111"/>
    </row>
    <row r="3112" spans="18:19" x14ac:dyDescent="0.25">
      <c r="R3112"/>
      <c r="S3112"/>
    </row>
    <row r="3113" spans="18:19" x14ac:dyDescent="0.25">
      <c r="R3113"/>
      <c r="S3113"/>
    </row>
    <row r="3114" spans="18:19" x14ac:dyDescent="0.25">
      <c r="R3114"/>
      <c r="S3114"/>
    </row>
    <row r="3115" spans="18:19" x14ac:dyDescent="0.25">
      <c r="R3115"/>
      <c r="S3115"/>
    </row>
    <row r="3116" spans="18:19" x14ac:dyDescent="0.25">
      <c r="R3116"/>
      <c r="S3116"/>
    </row>
    <row r="3117" spans="18:19" x14ac:dyDescent="0.25">
      <c r="R3117"/>
      <c r="S3117"/>
    </row>
    <row r="3118" spans="18:19" x14ac:dyDescent="0.25">
      <c r="R3118"/>
      <c r="S3118"/>
    </row>
    <row r="3119" spans="18:19" x14ac:dyDescent="0.25">
      <c r="R3119"/>
      <c r="S3119"/>
    </row>
    <row r="3120" spans="18:19" x14ac:dyDescent="0.25">
      <c r="R3120"/>
      <c r="S3120"/>
    </row>
    <row r="3121" spans="18:19" x14ac:dyDescent="0.25">
      <c r="R3121"/>
      <c r="S3121"/>
    </row>
    <row r="3122" spans="18:19" x14ac:dyDescent="0.25">
      <c r="R3122"/>
      <c r="S3122"/>
    </row>
    <row r="3123" spans="18:19" x14ac:dyDescent="0.25">
      <c r="R3123"/>
      <c r="S3123"/>
    </row>
    <row r="3124" spans="18:19" x14ac:dyDescent="0.25">
      <c r="R3124"/>
      <c r="S3124"/>
    </row>
    <row r="3125" spans="18:19" x14ac:dyDescent="0.25">
      <c r="R3125"/>
      <c r="S3125"/>
    </row>
    <row r="3126" spans="18:19" x14ac:dyDescent="0.25">
      <c r="R3126"/>
      <c r="S3126"/>
    </row>
    <row r="3127" spans="18:19" x14ac:dyDescent="0.25">
      <c r="R3127"/>
      <c r="S3127"/>
    </row>
    <row r="3128" spans="18:19" x14ac:dyDescent="0.25">
      <c r="R3128"/>
      <c r="S3128"/>
    </row>
    <row r="3129" spans="18:19" x14ac:dyDescent="0.25">
      <c r="R3129"/>
      <c r="S3129"/>
    </row>
    <row r="3130" spans="18:19" x14ac:dyDescent="0.25">
      <c r="R3130"/>
      <c r="S3130"/>
    </row>
    <row r="3131" spans="18:19" x14ac:dyDescent="0.25">
      <c r="R3131"/>
      <c r="S3131"/>
    </row>
    <row r="3132" spans="18:19" x14ac:dyDescent="0.25">
      <c r="R3132"/>
      <c r="S3132"/>
    </row>
    <row r="3133" spans="18:19" x14ac:dyDescent="0.25">
      <c r="R3133"/>
      <c r="S3133"/>
    </row>
    <row r="3134" spans="18:19" x14ac:dyDescent="0.25">
      <c r="R3134"/>
      <c r="S3134"/>
    </row>
    <row r="3135" spans="18:19" x14ac:dyDescent="0.25">
      <c r="R3135"/>
      <c r="S3135"/>
    </row>
    <row r="3136" spans="18:19" x14ac:dyDescent="0.25">
      <c r="R3136"/>
      <c r="S3136"/>
    </row>
    <row r="3137" spans="18:19" x14ac:dyDescent="0.25">
      <c r="R3137"/>
      <c r="S3137"/>
    </row>
    <row r="3138" spans="18:19" x14ac:dyDescent="0.25">
      <c r="R3138"/>
      <c r="S3138"/>
    </row>
    <row r="3139" spans="18:19" x14ac:dyDescent="0.25">
      <c r="R3139"/>
      <c r="S3139"/>
    </row>
    <row r="3140" spans="18:19" x14ac:dyDescent="0.25">
      <c r="R3140"/>
      <c r="S3140"/>
    </row>
    <row r="3141" spans="18:19" x14ac:dyDescent="0.25">
      <c r="R3141"/>
      <c r="S3141"/>
    </row>
    <row r="3142" spans="18:19" x14ac:dyDescent="0.25">
      <c r="R3142"/>
      <c r="S3142"/>
    </row>
    <row r="3143" spans="18:19" x14ac:dyDescent="0.25">
      <c r="R3143"/>
      <c r="S3143"/>
    </row>
    <row r="3144" spans="18:19" x14ac:dyDescent="0.25">
      <c r="R3144"/>
      <c r="S3144"/>
    </row>
    <row r="3145" spans="18:19" x14ac:dyDescent="0.25">
      <c r="R3145"/>
      <c r="S3145"/>
    </row>
    <row r="3146" spans="18:19" x14ac:dyDescent="0.25">
      <c r="R3146"/>
      <c r="S3146"/>
    </row>
    <row r="3147" spans="18:19" x14ac:dyDescent="0.25">
      <c r="R3147"/>
      <c r="S3147"/>
    </row>
    <row r="3148" spans="18:19" x14ac:dyDescent="0.25">
      <c r="R3148"/>
      <c r="S3148"/>
    </row>
    <row r="3149" spans="18:19" x14ac:dyDescent="0.25">
      <c r="R3149"/>
      <c r="S3149"/>
    </row>
    <row r="3150" spans="18:19" x14ac:dyDescent="0.25">
      <c r="R3150"/>
      <c r="S3150"/>
    </row>
    <row r="3151" spans="18:19" x14ac:dyDescent="0.25">
      <c r="R3151"/>
      <c r="S3151"/>
    </row>
    <row r="3152" spans="18:19" x14ac:dyDescent="0.25">
      <c r="R3152"/>
      <c r="S3152"/>
    </row>
    <row r="3153" spans="18:19" x14ac:dyDescent="0.25">
      <c r="R3153"/>
      <c r="S3153"/>
    </row>
    <row r="3154" spans="18:19" x14ac:dyDescent="0.25">
      <c r="R3154"/>
      <c r="S3154"/>
    </row>
    <row r="3155" spans="18:19" x14ac:dyDescent="0.25">
      <c r="R3155"/>
      <c r="S3155"/>
    </row>
    <row r="3156" spans="18:19" x14ac:dyDescent="0.25">
      <c r="R3156"/>
      <c r="S3156"/>
    </row>
    <row r="3157" spans="18:19" x14ac:dyDescent="0.25">
      <c r="R3157"/>
      <c r="S3157"/>
    </row>
    <row r="3158" spans="18:19" x14ac:dyDescent="0.25">
      <c r="R3158"/>
      <c r="S3158"/>
    </row>
    <row r="3159" spans="18:19" x14ac:dyDescent="0.25">
      <c r="R3159"/>
      <c r="S3159"/>
    </row>
    <row r="3160" spans="18:19" x14ac:dyDescent="0.25">
      <c r="R3160"/>
      <c r="S3160"/>
    </row>
    <row r="3161" spans="18:19" x14ac:dyDescent="0.25">
      <c r="R3161"/>
      <c r="S3161"/>
    </row>
    <row r="3162" spans="18:19" x14ac:dyDescent="0.25">
      <c r="R3162"/>
      <c r="S3162"/>
    </row>
    <row r="3163" spans="18:19" x14ac:dyDescent="0.25">
      <c r="R3163"/>
      <c r="S3163"/>
    </row>
    <row r="3164" spans="18:19" x14ac:dyDescent="0.25">
      <c r="R3164"/>
      <c r="S3164"/>
    </row>
    <row r="3165" spans="18:19" x14ac:dyDescent="0.25">
      <c r="R3165"/>
      <c r="S3165"/>
    </row>
    <row r="3166" spans="18:19" x14ac:dyDescent="0.25">
      <c r="R3166"/>
      <c r="S3166"/>
    </row>
    <row r="3167" spans="18:19" x14ac:dyDescent="0.25">
      <c r="R3167"/>
      <c r="S3167"/>
    </row>
    <row r="3168" spans="18:19" x14ac:dyDescent="0.25">
      <c r="R3168"/>
      <c r="S3168"/>
    </row>
    <row r="3169" spans="18:19" x14ac:dyDescent="0.25">
      <c r="R3169"/>
      <c r="S3169"/>
    </row>
    <row r="3170" spans="18:19" x14ac:dyDescent="0.25">
      <c r="R3170"/>
      <c r="S3170"/>
    </row>
    <row r="3171" spans="18:19" x14ac:dyDescent="0.25">
      <c r="R3171"/>
      <c r="S3171"/>
    </row>
    <row r="3172" spans="18:19" x14ac:dyDescent="0.25">
      <c r="R3172"/>
      <c r="S3172"/>
    </row>
    <row r="3173" spans="18:19" x14ac:dyDescent="0.25">
      <c r="R3173"/>
      <c r="S3173"/>
    </row>
    <row r="3174" spans="18:19" x14ac:dyDescent="0.25">
      <c r="R3174"/>
      <c r="S3174"/>
    </row>
    <row r="3175" spans="18:19" x14ac:dyDescent="0.25">
      <c r="R3175"/>
      <c r="S3175"/>
    </row>
    <row r="3176" spans="18:19" x14ac:dyDescent="0.25">
      <c r="R3176"/>
      <c r="S3176"/>
    </row>
    <row r="3177" spans="18:19" x14ac:dyDescent="0.25">
      <c r="R3177"/>
      <c r="S3177"/>
    </row>
    <row r="3178" spans="18:19" x14ac:dyDescent="0.25">
      <c r="R3178"/>
      <c r="S3178"/>
    </row>
    <row r="3179" spans="18:19" x14ac:dyDescent="0.25">
      <c r="R3179"/>
      <c r="S3179"/>
    </row>
    <row r="3180" spans="18:19" x14ac:dyDescent="0.25">
      <c r="R3180"/>
      <c r="S3180"/>
    </row>
    <row r="3181" spans="18:19" x14ac:dyDescent="0.25">
      <c r="R3181"/>
      <c r="S3181"/>
    </row>
    <row r="3182" spans="18:19" x14ac:dyDescent="0.25">
      <c r="R3182"/>
      <c r="S3182"/>
    </row>
    <row r="3183" spans="18:19" x14ac:dyDescent="0.25">
      <c r="R3183"/>
      <c r="S3183"/>
    </row>
    <row r="3184" spans="18:19" x14ac:dyDescent="0.25">
      <c r="R3184"/>
      <c r="S3184"/>
    </row>
    <row r="3185" spans="18:19" x14ac:dyDescent="0.25">
      <c r="R3185"/>
      <c r="S3185"/>
    </row>
    <row r="3186" spans="18:19" x14ac:dyDescent="0.25">
      <c r="R3186"/>
      <c r="S3186"/>
    </row>
    <row r="3187" spans="18:19" x14ac:dyDescent="0.25">
      <c r="R3187"/>
      <c r="S3187"/>
    </row>
    <row r="3188" spans="18:19" x14ac:dyDescent="0.25">
      <c r="R3188"/>
      <c r="S3188"/>
    </row>
    <row r="3189" spans="18:19" x14ac:dyDescent="0.25">
      <c r="R3189"/>
      <c r="S3189"/>
    </row>
    <row r="3190" spans="18:19" x14ac:dyDescent="0.25">
      <c r="R3190"/>
      <c r="S3190"/>
    </row>
    <row r="3191" spans="18:19" x14ac:dyDescent="0.25">
      <c r="R3191"/>
      <c r="S3191"/>
    </row>
    <row r="3192" spans="18:19" x14ac:dyDescent="0.25">
      <c r="R3192"/>
      <c r="S3192"/>
    </row>
    <row r="3193" spans="18:19" x14ac:dyDescent="0.25">
      <c r="R3193"/>
      <c r="S3193"/>
    </row>
    <row r="3194" spans="18:19" x14ac:dyDescent="0.25">
      <c r="R3194"/>
      <c r="S3194"/>
    </row>
    <row r="3195" spans="18:19" x14ac:dyDescent="0.25">
      <c r="R3195"/>
      <c r="S3195"/>
    </row>
    <row r="3196" spans="18:19" x14ac:dyDescent="0.25">
      <c r="R3196"/>
      <c r="S3196"/>
    </row>
    <row r="3197" spans="18:19" x14ac:dyDescent="0.25">
      <c r="R3197"/>
      <c r="S3197"/>
    </row>
    <row r="3198" spans="18:19" x14ac:dyDescent="0.25">
      <c r="R3198"/>
      <c r="S3198"/>
    </row>
    <row r="3199" spans="18:19" x14ac:dyDescent="0.25">
      <c r="R3199"/>
      <c r="S3199"/>
    </row>
    <row r="3200" spans="18:19" x14ac:dyDescent="0.25">
      <c r="R3200"/>
      <c r="S3200"/>
    </row>
    <row r="3201" spans="18:19" x14ac:dyDescent="0.25">
      <c r="R3201"/>
      <c r="S3201"/>
    </row>
    <row r="3202" spans="18:19" x14ac:dyDescent="0.25">
      <c r="R3202"/>
      <c r="S3202"/>
    </row>
    <row r="3203" spans="18:19" x14ac:dyDescent="0.25">
      <c r="R3203"/>
      <c r="S3203"/>
    </row>
    <row r="3204" spans="18:19" x14ac:dyDescent="0.25">
      <c r="R3204"/>
      <c r="S3204"/>
    </row>
    <row r="3205" spans="18:19" x14ac:dyDescent="0.25">
      <c r="R3205"/>
      <c r="S3205"/>
    </row>
    <row r="3206" spans="18:19" x14ac:dyDescent="0.25">
      <c r="R3206"/>
      <c r="S3206"/>
    </row>
    <row r="3207" spans="18:19" x14ac:dyDescent="0.25">
      <c r="R3207"/>
      <c r="S3207"/>
    </row>
    <row r="3208" spans="18:19" x14ac:dyDescent="0.25">
      <c r="R3208"/>
      <c r="S3208"/>
    </row>
    <row r="3209" spans="18:19" x14ac:dyDescent="0.25">
      <c r="R3209"/>
      <c r="S3209"/>
    </row>
    <row r="3210" spans="18:19" x14ac:dyDescent="0.25">
      <c r="R3210"/>
      <c r="S3210"/>
    </row>
    <row r="3211" spans="18:19" x14ac:dyDescent="0.25">
      <c r="R3211"/>
      <c r="S3211"/>
    </row>
    <row r="3212" spans="18:19" x14ac:dyDescent="0.25">
      <c r="R3212"/>
      <c r="S3212"/>
    </row>
    <row r="3213" spans="18:19" x14ac:dyDescent="0.25">
      <c r="R3213"/>
      <c r="S3213"/>
    </row>
    <row r="3214" spans="18:19" x14ac:dyDescent="0.25">
      <c r="R3214"/>
      <c r="S3214"/>
    </row>
    <row r="3215" spans="18:19" x14ac:dyDescent="0.25">
      <c r="R3215"/>
      <c r="S3215"/>
    </row>
    <row r="3216" spans="18:19" x14ac:dyDescent="0.25">
      <c r="R3216"/>
      <c r="S3216"/>
    </row>
    <row r="3217" spans="18:19" x14ac:dyDescent="0.25">
      <c r="R3217"/>
      <c r="S3217"/>
    </row>
    <row r="3218" spans="18:19" x14ac:dyDescent="0.25">
      <c r="R3218"/>
      <c r="S3218"/>
    </row>
    <row r="3219" spans="18:19" x14ac:dyDescent="0.25">
      <c r="R3219"/>
      <c r="S3219"/>
    </row>
    <row r="3220" spans="18:19" x14ac:dyDescent="0.25">
      <c r="R3220"/>
      <c r="S3220"/>
    </row>
    <row r="3221" spans="18:19" x14ac:dyDescent="0.25">
      <c r="R3221"/>
      <c r="S3221"/>
    </row>
    <row r="3222" spans="18:19" x14ac:dyDescent="0.25">
      <c r="R3222"/>
      <c r="S3222"/>
    </row>
    <row r="3223" spans="18:19" x14ac:dyDescent="0.25">
      <c r="R3223"/>
      <c r="S3223"/>
    </row>
    <row r="3224" spans="18:19" x14ac:dyDescent="0.25">
      <c r="R3224"/>
      <c r="S3224"/>
    </row>
    <row r="3225" spans="18:19" x14ac:dyDescent="0.25">
      <c r="R3225"/>
      <c r="S3225"/>
    </row>
    <row r="3226" spans="18:19" x14ac:dyDescent="0.25">
      <c r="R3226"/>
      <c r="S3226"/>
    </row>
    <row r="3227" spans="18:19" x14ac:dyDescent="0.25">
      <c r="R3227"/>
      <c r="S3227"/>
    </row>
    <row r="3228" spans="18:19" x14ac:dyDescent="0.25">
      <c r="R3228"/>
      <c r="S3228"/>
    </row>
    <row r="3229" spans="18:19" x14ac:dyDescent="0.25">
      <c r="R3229"/>
      <c r="S3229"/>
    </row>
    <row r="3230" spans="18:19" x14ac:dyDescent="0.25">
      <c r="R3230"/>
      <c r="S3230"/>
    </row>
    <row r="3231" spans="18:19" x14ac:dyDescent="0.25">
      <c r="R3231"/>
      <c r="S3231"/>
    </row>
    <row r="3232" spans="18:19" x14ac:dyDescent="0.25">
      <c r="R3232"/>
      <c r="S3232"/>
    </row>
    <row r="3233" spans="18:19" x14ac:dyDescent="0.25">
      <c r="R3233"/>
      <c r="S3233"/>
    </row>
    <row r="3234" spans="18:19" x14ac:dyDescent="0.25">
      <c r="R3234"/>
      <c r="S3234"/>
    </row>
    <row r="3235" spans="18:19" x14ac:dyDescent="0.25">
      <c r="R3235"/>
      <c r="S3235"/>
    </row>
    <row r="3236" spans="18:19" x14ac:dyDescent="0.25">
      <c r="R3236"/>
      <c r="S3236"/>
    </row>
    <row r="3237" spans="18:19" x14ac:dyDescent="0.25">
      <c r="R3237"/>
      <c r="S3237"/>
    </row>
    <row r="3238" spans="18:19" x14ac:dyDescent="0.25">
      <c r="R3238"/>
      <c r="S3238"/>
    </row>
    <row r="3239" spans="18:19" x14ac:dyDescent="0.25">
      <c r="R3239"/>
      <c r="S3239"/>
    </row>
    <row r="3240" spans="18:19" x14ac:dyDescent="0.25">
      <c r="R3240"/>
      <c r="S3240"/>
    </row>
    <row r="3241" spans="18:19" x14ac:dyDescent="0.25">
      <c r="R3241"/>
      <c r="S3241"/>
    </row>
    <row r="3242" spans="18:19" x14ac:dyDescent="0.25">
      <c r="R3242"/>
      <c r="S3242"/>
    </row>
    <row r="3243" spans="18:19" x14ac:dyDescent="0.25">
      <c r="R3243"/>
      <c r="S3243"/>
    </row>
    <row r="3244" spans="18:19" x14ac:dyDescent="0.25">
      <c r="R3244"/>
      <c r="S3244"/>
    </row>
    <row r="3245" spans="18:19" x14ac:dyDescent="0.25">
      <c r="R3245"/>
      <c r="S3245"/>
    </row>
    <row r="3246" spans="18:19" x14ac:dyDescent="0.25">
      <c r="R3246"/>
      <c r="S3246"/>
    </row>
    <row r="3247" spans="18:19" x14ac:dyDescent="0.25">
      <c r="R3247"/>
      <c r="S3247"/>
    </row>
    <row r="3248" spans="18:19" x14ac:dyDescent="0.25">
      <c r="R3248"/>
      <c r="S3248"/>
    </row>
    <row r="3249" spans="18:19" x14ac:dyDescent="0.25">
      <c r="R3249"/>
      <c r="S3249"/>
    </row>
    <row r="3250" spans="18:19" x14ac:dyDescent="0.25">
      <c r="R3250"/>
      <c r="S3250"/>
    </row>
    <row r="3251" spans="18:19" x14ac:dyDescent="0.25">
      <c r="R3251"/>
      <c r="S3251"/>
    </row>
    <row r="3252" spans="18:19" x14ac:dyDescent="0.25">
      <c r="R3252"/>
      <c r="S3252"/>
    </row>
    <row r="3253" spans="18:19" x14ac:dyDescent="0.25">
      <c r="R3253"/>
      <c r="S3253"/>
    </row>
    <row r="3254" spans="18:19" x14ac:dyDescent="0.25">
      <c r="R3254"/>
      <c r="S3254"/>
    </row>
    <row r="3255" spans="18:19" x14ac:dyDescent="0.25">
      <c r="R3255"/>
      <c r="S3255"/>
    </row>
    <row r="3256" spans="18:19" x14ac:dyDescent="0.25">
      <c r="R3256"/>
      <c r="S3256"/>
    </row>
    <row r="3257" spans="18:19" x14ac:dyDescent="0.25">
      <c r="R3257"/>
      <c r="S3257"/>
    </row>
    <row r="3258" spans="18:19" x14ac:dyDescent="0.25">
      <c r="R3258"/>
      <c r="S3258"/>
    </row>
    <row r="3259" spans="18:19" x14ac:dyDescent="0.25">
      <c r="R3259"/>
      <c r="S3259"/>
    </row>
    <row r="3260" spans="18:19" x14ac:dyDescent="0.25">
      <c r="R3260"/>
      <c r="S3260"/>
    </row>
    <row r="3261" spans="18:19" x14ac:dyDescent="0.25">
      <c r="R3261"/>
      <c r="S3261"/>
    </row>
    <row r="3262" spans="18:19" x14ac:dyDescent="0.25">
      <c r="R3262"/>
      <c r="S3262"/>
    </row>
    <row r="3263" spans="18:19" x14ac:dyDescent="0.25">
      <c r="R3263"/>
      <c r="S3263"/>
    </row>
    <row r="3264" spans="18:19" x14ac:dyDescent="0.25">
      <c r="R3264"/>
      <c r="S3264"/>
    </row>
    <row r="3265" spans="18:19" x14ac:dyDescent="0.25">
      <c r="R3265"/>
      <c r="S3265"/>
    </row>
    <row r="3266" spans="18:19" x14ac:dyDescent="0.25">
      <c r="R3266"/>
      <c r="S3266"/>
    </row>
    <row r="3267" spans="18:19" x14ac:dyDescent="0.25">
      <c r="R3267"/>
      <c r="S3267"/>
    </row>
    <row r="3268" spans="18:19" x14ac:dyDescent="0.25">
      <c r="R3268"/>
      <c r="S3268"/>
    </row>
    <row r="3269" spans="18:19" x14ac:dyDescent="0.25">
      <c r="R3269"/>
      <c r="S3269"/>
    </row>
    <row r="3270" spans="18:19" x14ac:dyDescent="0.25">
      <c r="R3270"/>
      <c r="S3270"/>
    </row>
    <row r="3271" spans="18:19" x14ac:dyDescent="0.25">
      <c r="R3271"/>
      <c r="S3271"/>
    </row>
    <row r="3272" spans="18:19" x14ac:dyDescent="0.25">
      <c r="R3272"/>
      <c r="S3272"/>
    </row>
    <row r="3273" spans="18:19" x14ac:dyDescent="0.25">
      <c r="R3273"/>
      <c r="S3273"/>
    </row>
    <row r="3274" spans="18:19" x14ac:dyDescent="0.25">
      <c r="R3274"/>
      <c r="S3274"/>
    </row>
    <row r="3275" spans="18:19" x14ac:dyDescent="0.25">
      <c r="R3275"/>
      <c r="S3275"/>
    </row>
    <row r="3276" spans="18:19" x14ac:dyDescent="0.25">
      <c r="R3276"/>
      <c r="S3276"/>
    </row>
    <row r="3277" spans="18:19" x14ac:dyDescent="0.25">
      <c r="R3277"/>
      <c r="S3277"/>
    </row>
    <row r="3278" spans="18:19" x14ac:dyDescent="0.25">
      <c r="R3278"/>
      <c r="S3278"/>
    </row>
    <row r="3279" spans="18:19" x14ac:dyDescent="0.25">
      <c r="R3279"/>
      <c r="S3279"/>
    </row>
    <row r="3280" spans="18:19" x14ac:dyDescent="0.25">
      <c r="R3280"/>
      <c r="S3280"/>
    </row>
    <row r="3281" spans="18:19" x14ac:dyDescent="0.25">
      <c r="R3281"/>
      <c r="S3281"/>
    </row>
    <row r="3282" spans="18:19" x14ac:dyDescent="0.25">
      <c r="R3282"/>
      <c r="S3282"/>
    </row>
    <row r="3283" spans="18:19" x14ac:dyDescent="0.25">
      <c r="R3283"/>
      <c r="S3283"/>
    </row>
    <row r="3284" spans="18:19" x14ac:dyDescent="0.25">
      <c r="R3284"/>
      <c r="S3284"/>
    </row>
    <row r="3285" spans="18:19" x14ac:dyDescent="0.25">
      <c r="R3285"/>
      <c r="S3285"/>
    </row>
    <row r="3286" spans="18:19" x14ac:dyDescent="0.25">
      <c r="R3286"/>
      <c r="S3286"/>
    </row>
    <row r="3287" spans="18:19" x14ac:dyDescent="0.25">
      <c r="R3287"/>
      <c r="S3287"/>
    </row>
    <row r="3288" spans="18:19" x14ac:dyDescent="0.25">
      <c r="R3288"/>
      <c r="S3288"/>
    </row>
    <row r="3289" spans="18:19" x14ac:dyDescent="0.25">
      <c r="R3289"/>
      <c r="S3289"/>
    </row>
    <row r="3290" spans="18:19" x14ac:dyDescent="0.25">
      <c r="R3290"/>
      <c r="S3290"/>
    </row>
    <row r="3291" spans="18:19" x14ac:dyDescent="0.25">
      <c r="R3291"/>
      <c r="S3291"/>
    </row>
    <row r="3292" spans="18:19" x14ac:dyDescent="0.25">
      <c r="R3292"/>
      <c r="S3292"/>
    </row>
    <row r="3293" spans="18:19" x14ac:dyDescent="0.25">
      <c r="R3293"/>
      <c r="S3293"/>
    </row>
    <row r="3294" spans="18:19" x14ac:dyDescent="0.25">
      <c r="R3294"/>
      <c r="S3294"/>
    </row>
    <row r="3295" spans="18:19" x14ac:dyDescent="0.25">
      <c r="R3295"/>
      <c r="S3295"/>
    </row>
    <row r="3296" spans="18:19" x14ac:dyDescent="0.25">
      <c r="R3296"/>
      <c r="S3296"/>
    </row>
    <row r="3297" spans="18:19" x14ac:dyDescent="0.25">
      <c r="R3297"/>
      <c r="S3297"/>
    </row>
    <row r="3298" spans="18:19" x14ac:dyDescent="0.25">
      <c r="R3298"/>
      <c r="S3298"/>
    </row>
    <row r="3299" spans="18:19" x14ac:dyDescent="0.25">
      <c r="R3299"/>
      <c r="S3299"/>
    </row>
    <row r="3300" spans="18:19" x14ac:dyDescent="0.25">
      <c r="R3300"/>
      <c r="S3300"/>
    </row>
    <row r="3301" spans="18:19" x14ac:dyDescent="0.25">
      <c r="R3301"/>
      <c r="S3301"/>
    </row>
    <row r="3302" spans="18:19" x14ac:dyDescent="0.25">
      <c r="R3302"/>
      <c r="S3302"/>
    </row>
    <row r="3303" spans="18:19" x14ac:dyDescent="0.25">
      <c r="R3303"/>
      <c r="S3303"/>
    </row>
    <row r="3304" spans="18:19" x14ac:dyDescent="0.25">
      <c r="R3304"/>
      <c r="S3304"/>
    </row>
    <row r="3305" spans="18:19" x14ac:dyDescent="0.25">
      <c r="R3305"/>
      <c r="S3305"/>
    </row>
    <row r="3306" spans="18:19" x14ac:dyDescent="0.25">
      <c r="R3306"/>
      <c r="S3306"/>
    </row>
    <row r="3307" spans="18:19" x14ac:dyDescent="0.25">
      <c r="R3307"/>
      <c r="S3307"/>
    </row>
    <row r="3308" spans="18:19" x14ac:dyDescent="0.25">
      <c r="R3308"/>
      <c r="S3308"/>
    </row>
    <row r="3309" spans="18:19" x14ac:dyDescent="0.25">
      <c r="R3309"/>
      <c r="S3309"/>
    </row>
    <row r="3310" spans="18:19" x14ac:dyDescent="0.25">
      <c r="R3310"/>
      <c r="S3310"/>
    </row>
    <row r="3311" spans="18:19" x14ac:dyDescent="0.25">
      <c r="R3311"/>
      <c r="S3311"/>
    </row>
    <row r="3312" spans="18:19" x14ac:dyDescent="0.25">
      <c r="R3312"/>
      <c r="S3312"/>
    </row>
    <row r="3313" spans="18:19" x14ac:dyDescent="0.25">
      <c r="R3313"/>
      <c r="S3313"/>
    </row>
    <row r="3314" spans="18:19" x14ac:dyDescent="0.25">
      <c r="R3314"/>
      <c r="S3314"/>
    </row>
    <row r="3315" spans="18:19" x14ac:dyDescent="0.25">
      <c r="R3315"/>
      <c r="S3315"/>
    </row>
    <row r="3316" spans="18:19" x14ac:dyDescent="0.25">
      <c r="R3316"/>
      <c r="S3316"/>
    </row>
    <row r="3317" spans="18:19" x14ac:dyDescent="0.25">
      <c r="R3317"/>
      <c r="S3317"/>
    </row>
    <row r="3318" spans="18:19" x14ac:dyDescent="0.25">
      <c r="R3318"/>
      <c r="S3318"/>
    </row>
    <row r="3319" spans="18:19" x14ac:dyDescent="0.25">
      <c r="R3319"/>
      <c r="S3319"/>
    </row>
    <row r="3320" spans="18:19" x14ac:dyDescent="0.25">
      <c r="R3320"/>
      <c r="S3320"/>
    </row>
    <row r="3321" spans="18:19" x14ac:dyDescent="0.25">
      <c r="R3321"/>
      <c r="S3321"/>
    </row>
    <row r="3322" spans="18:19" x14ac:dyDescent="0.25">
      <c r="R3322"/>
      <c r="S3322"/>
    </row>
    <row r="3323" spans="18:19" x14ac:dyDescent="0.25">
      <c r="R3323"/>
      <c r="S3323"/>
    </row>
    <row r="3324" spans="18:19" x14ac:dyDescent="0.25">
      <c r="R3324"/>
      <c r="S3324"/>
    </row>
    <row r="3325" spans="18:19" x14ac:dyDescent="0.25">
      <c r="R3325"/>
      <c r="S3325"/>
    </row>
    <row r="3326" spans="18:19" x14ac:dyDescent="0.25">
      <c r="R3326"/>
      <c r="S3326"/>
    </row>
    <row r="3327" spans="18:19" x14ac:dyDescent="0.25">
      <c r="R3327"/>
      <c r="S3327"/>
    </row>
    <row r="3328" spans="18:19" x14ac:dyDescent="0.25">
      <c r="R3328"/>
      <c r="S3328"/>
    </row>
    <row r="3329" spans="18:19" x14ac:dyDescent="0.25">
      <c r="R3329"/>
      <c r="S3329"/>
    </row>
    <row r="3330" spans="18:19" x14ac:dyDescent="0.25">
      <c r="R3330"/>
      <c r="S3330"/>
    </row>
    <row r="3331" spans="18:19" x14ac:dyDescent="0.25">
      <c r="R3331"/>
      <c r="S3331"/>
    </row>
    <row r="3332" spans="18:19" x14ac:dyDescent="0.25">
      <c r="R3332"/>
      <c r="S3332"/>
    </row>
    <row r="3333" spans="18:19" x14ac:dyDescent="0.25">
      <c r="R3333"/>
      <c r="S3333"/>
    </row>
    <row r="3334" spans="18:19" x14ac:dyDescent="0.25">
      <c r="R3334"/>
      <c r="S3334"/>
    </row>
    <row r="3335" spans="18:19" x14ac:dyDescent="0.25">
      <c r="R3335"/>
      <c r="S3335"/>
    </row>
    <row r="3336" spans="18:19" x14ac:dyDescent="0.25">
      <c r="R3336"/>
      <c r="S3336"/>
    </row>
    <row r="3337" spans="18:19" x14ac:dyDescent="0.25">
      <c r="R3337"/>
      <c r="S3337"/>
    </row>
    <row r="3338" spans="18:19" x14ac:dyDescent="0.25">
      <c r="R3338"/>
      <c r="S3338"/>
    </row>
    <row r="3339" spans="18:19" x14ac:dyDescent="0.25">
      <c r="R3339"/>
      <c r="S3339"/>
    </row>
    <row r="3340" spans="18:19" x14ac:dyDescent="0.25">
      <c r="R3340"/>
      <c r="S3340"/>
    </row>
    <row r="3341" spans="18:19" x14ac:dyDescent="0.25">
      <c r="R3341"/>
      <c r="S3341"/>
    </row>
    <row r="3342" spans="18:19" x14ac:dyDescent="0.25">
      <c r="R3342"/>
      <c r="S3342"/>
    </row>
    <row r="3343" spans="18:19" x14ac:dyDescent="0.25">
      <c r="R3343"/>
      <c r="S3343"/>
    </row>
    <row r="3344" spans="18:19" x14ac:dyDescent="0.25">
      <c r="R3344"/>
      <c r="S3344"/>
    </row>
    <row r="3345" spans="18:19" x14ac:dyDescent="0.25">
      <c r="R3345"/>
      <c r="S3345"/>
    </row>
    <row r="3346" spans="18:19" x14ac:dyDescent="0.25">
      <c r="R3346"/>
      <c r="S3346"/>
    </row>
    <row r="3347" spans="18:19" x14ac:dyDescent="0.25">
      <c r="R3347"/>
      <c r="S3347"/>
    </row>
    <row r="3348" spans="18:19" x14ac:dyDescent="0.25">
      <c r="R3348"/>
      <c r="S3348"/>
    </row>
    <row r="3349" spans="18:19" x14ac:dyDescent="0.25">
      <c r="R3349"/>
      <c r="S3349"/>
    </row>
    <row r="3350" spans="18:19" x14ac:dyDescent="0.25">
      <c r="R3350"/>
      <c r="S3350"/>
    </row>
    <row r="3351" spans="18:19" x14ac:dyDescent="0.25">
      <c r="R3351"/>
      <c r="S3351"/>
    </row>
    <row r="3352" spans="18:19" x14ac:dyDescent="0.25">
      <c r="R3352"/>
      <c r="S3352"/>
    </row>
    <row r="3353" spans="18:19" x14ac:dyDescent="0.25">
      <c r="R3353"/>
      <c r="S3353"/>
    </row>
    <row r="3354" spans="18:19" x14ac:dyDescent="0.25">
      <c r="R3354"/>
      <c r="S3354"/>
    </row>
    <row r="3355" spans="18:19" x14ac:dyDescent="0.25">
      <c r="R3355"/>
      <c r="S3355"/>
    </row>
    <row r="3356" spans="18:19" x14ac:dyDescent="0.25">
      <c r="R3356"/>
      <c r="S3356"/>
    </row>
    <row r="3357" spans="18:19" x14ac:dyDescent="0.25">
      <c r="R3357"/>
      <c r="S3357"/>
    </row>
    <row r="3358" spans="18:19" x14ac:dyDescent="0.25">
      <c r="R3358"/>
      <c r="S3358"/>
    </row>
    <row r="3359" spans="18:19" x14ac:dyDescent="0.25">
      <c r="R3359"/>
      <c r="S3359"/>
    </row>
    <row r="3360" spans="18:19" x14ac:dyDescent="0.25">
      <c r="R3360"/>
      <c r="S3360"/>
    </row>
    <row r="3361" spans="18:19" x14ac:dyDescent="0.25">
      <c r="R3361"/>
      <c r="S3361"/>
    </row>
    <row r="3362" spans="18:19" x14ac:dyDescent="0.25">
      <c r="R3362"/>
      <c r="S3362"/>
    </row>
    <row r="3363" spans="18:19" x14ac:dyDescent="0.25">
      <c r="R3363"/>
      <c r="S3363"/>
    </row>
    <row r="3364" spans="18:19" x14ac:dyDescent="0.25">
      <c r="R3364"/>
      <c r="S3364"/>
    </row>
    <row r="3365" spans="18:19" x14ac:dyDescent="0.25">
      <c r="R3365"/>
      <c r="S3365"/>
    </row>
    <row r="3366" spans="18:19" x14ac:dyDescent="0.25">
      <c r="R3366"/>
      <c r="S3366"/>
    </row>
    <row r="3367" spans="18:19" x14ac:dyDescent="0.25">
      <c r="R3367"/>
      <c r="S3367"/>
    </row>
    <row r="3368" spans="18:19" x14ac:dyDescent="0.25">
      <c r="R3368"/>
      <c r="S3368"/>
    </row>
    <row r="3369" spans="18:19" x14ac:dyDescent="0.25">
      <c r="R3369"/>
      <c r="S3369"/>
    </row>
    <row r="3370" spans="18:19" x14ac:dyDescent="0.25">
      <c r="R3370"/>
      <c r="S3370"/>
    </row>
    <row r="3371" spans="18:19" x14ac:dyDescent="0.25">
      <c r="R3371"/>
      <c r="S3371"/>
    </row>
    <row r="3372" spans="18:19" x14ac:dyDescent="0.25">
      <c r="R3372"/>
      <c r="S3372"/>
    </row>
    <row r="3373" spans="18:19" x14ac:dyDescent="0.25">
      <c r="R3373"/>
      <c r="S3373"/>
    </row>
    <row r="3374" spans="18:19" x14ac:dyDescent="0.25">
      <c r="R3374"/>
      <c r="S3374"/>
    </row>
    <row r="3375" spans="18:19" x14ac:dyDescent="0.25">
      <c r="R3375"/>
      <c r="S3375"/>
    </row>
    <row r="3376" spans="18:19" x14ac:dyDescent="0.25">
      <c r="R3376"/>
      <c r="S3376"/>
    </row>
    <row r="3377" spans="18:19" x14ac:dyDescent="0.25">
      <c r="R3377"/>
      <c r="S3377"/>
    </row>
    <row r="3378" spans="18:19" x14ac:dyDescent="0.25">
      <c r="R3378"/>
      <c r="S3378"/>
    </row>
    <row r="3379" spans="18:19" x14ac:dyDescent="0.25">
      <c r="R3379"/>
      <c r="S3379"/>
    </row>
    <row r="3380" spans="18:19" x14ac:dyDescent="0.25">
      <c r="R3380"/>
      <c r="S3380"/>
    </row>
    <row r="3381" spans="18:19" x14ac:dyDescent="0.25">
      <c r="R3381"/>
      <c r="S3381"/>
    </row>
    <row r="3382" spans="18:19" x14ac:dyDescent="0.25">
      <c r="R3382"/>
      <c r="S3382"/>
    </row>
    <row r="3383" spans="18:19" x14ac:dyDescent="0.25">
      <c r="R3383"/>
      <c r="S3383"/>
    </row>
    <row r="3384" spans="18:19" x14ac:dyDescent="0.25">
      <c r="R3384"/>
      <c r="S3384"/>
    </row>
    <row r="3385" spans="18:19" x14ac:dyDescent="0.25">
      <c r="R3385"/>
      <c r="S3385"/>
    </row>
    <row r="3386" spans="18:19" x14ac:dyDescent="0.25">
      <c r="R3386"/>
      <c r="S3386"/>
    </row>
    <row r="3387" spans="18:19" x14ac:dyDescent="0.25">
      <c r="R3387"/>
      <c r="S3387"/>
    </row>
    <row r="3388" spans="18:19" x14ac:dyDescent="0.25">
      <c r="R3388"/>
      <c r="S3388"/>
    </row>
    <row r="3389" spans="18:19" x14ac:dyDescent="0.25">
      <c r="R3389"/>
      <c r="S3389"/>
    </row>
    <row r="3390" spans="18:19" x14ac:dyDescent="0.25">
      <c r="R3390"/>
      <c r="S3390"/>
    </row>
    <row r="3391" spans="18:19" x14ac:dyDescent="0.25">
      <c r="R3391"/>
      <c r="S3391"/>
    </row>
    <row r="3392" spans="18:19" x14ac:dyDescent="0.25">
      <c r="R3392"/>
      <c r="S3392"/>
    </row>
    <row r="3393" spans="18:19" x14ac:dyDescent="0.25">
      <c r="R3393"/>
      <c r="S3393"/>
    </row>
    <row r="3394" spans="18:19" x14ac:dyDescent="0.25">
      <c r="R3394"/>
      <c r="S3394"/>
    </row>
    <row r="3395" spans="18:19" x14ac:dyDescent="0.25">
      <c r="R3395"/>
      <c r="S3395"/>
    </row>
    <row r="3396" spans="18:19" x14ac:dyDescent="0.25">
      <c r="R3396"/>
      <c r="S3396"/>
    </row>
    <row r="3397" spans="18:19" x14ac:dyDescent="0.25">
      <c r="R3397"/>
      <c r="S3397"/>
    </row>
    <row r="3398" spans="18:19" x14ac:dyDescent="0.25">
      <c r="R3398"/>
      <c r="S3398"/>
    </row>
    <row r="3399" spans="18:19" x14ac:dyDescent="0.25">
      <c r="R3399"/>
      <c r="S3399"/>
    </row>
    <row r="3400" spans="18:19" x14ac:dyDescent="0.25">
      <c r="R3400"/>
      <c r="S3400"/>
    </row>
    <row r="3401" spans="18:19" x14ac:dyDescent="0.25">
      <c r="R3401"/>
      <c r="S3401"/>
    </row>
    <row r="3402" spans="18:19" x14ac:dyDescent="0.25">
      <c r="R3402"/>
      <c r="S3402"/>
    </row>
    <row r="3403" spans="18:19" x14ac:dyDescent="0.25">
      <c r="R3403"/>
      <c r="S3403"/>
    </row>
    <row r="3404" spans="18:19" x14ac:dyDescent="0.25">
      <c r="R3404"/>
      <c r="S3404"/>
    </row>
    <row r="3405" spans="18:19" x14ac:dyDescent="0.25">
      <c r="R3405"/>
      <c r="S3405"/>
    </row>
    <row r="3406" spans="18:19" x14ac:dyDescent="0.25">
      <c r="R3406"/>
      <c r="S3406"/>
    </row>
    <row r="3407" spans="18:19" x14ac:dyDescent="0.25">
      <c r="R3407"/>
      <c r="S3407"/>
    </row>
    <row r="3408" spans="18:19" x14ac:dyDescent="0.25">
      <c r="R3408"/>
      <c r="S3408"/>
    </row>
    <row r="3409" spans="18:19" x14ac:dyDescent="0.25">
      <c r="R3409"/>
      <c r="S3409"/>
    </row>
    <row r="3410" spans="18:19" x14ac:dyDescent="0.25">
      <c r="R3410"/>
      <c r="S3410"/>
    </row>
    <row r="3411" spans="18:19" x14ac:dyDescent="0.25">
      <c r="R3411"/>
      <c r="S3411"/>
    </row>
    <row r="3412" spans="18:19" x14ac:dyDescent="0.25">
      <c r="R3412"/>
      <c r="S3412"/>
    </row>
    <row r="3413" spans="18:19" x14ac:dyDescent="0.25">
      <c r="R3413"/>
      <c r="S3413"/>
    </row>
    <row r="3414" spans="18:19" x14ac:dyDescent="0.25">
      <c r="R3414"/>
      <c r="S3414"/>
    </row>
    <row r="3415" spans="18:19" x14ac:dyDescent="0.25">
      <c r="R3415"/>
      <c r="S3415"/>
    </row>
    <row r="3416" spans="18:19" x14ac:dyDescent="0.25">
      <c r="R3416"/>
      <c r="S3416"/>
    </row>
    <row r="3417" spans="18:19" x14ac:dyDescent="0.25">
      <c r="R3417"/>
      <c r="S3417"/>
    </row>
    <row r="3418" spans="18:19" x14ac:dyDescent="0.25">
      <c r="R3418"/>
      <c r="S3418"/>
    </row>
    <row r="3419" spans="18:19" x14ac:dyDescent="0.25">
      <c r="R3419"/>
      <c r="S3419"/>
    </row>
    <row r="3420" spans="18:19" x14ac:dyDescent="0.25">
      <c r="R3420"/>
      <c r="S3420"/>
    </row>
    <row r="3421" spans="18:19" x14ac:dyDescent="0.25">
      <c r="R3421"/>
      <c r="S3421"/>
    </row>
    <row r="3422" spans="18:19" x14ac:dyDescent="0.25">
      <c r="R3422"/>
      <c r="S3422"/>
    </row>
    <row r="3423" spans="18:19" x14ac:dyDescent="0.25">
      <c r="R3423"/>
      <c r="S3423"/>
    </row>
    <row r="3424" spans="18:19" x14ac:dyDescent="0.25">
      <c r="R3424"/>
      <c r="S3424"/>
    </row>
    <row r="3425" spans="18:19" x14ac:dyDescent="0.25">
      <c r="R3425"/>
      <c r="S3425"/>
    </row>
    <row r="3426" spans="18:19" x14ac:dyDescent="0.25">
      <c r="R3426"/>
      <c r="S3426"/>
    </row>
    <row r="3427" spans="18:19" x14ac:dyDescent="0.25">
      <c r="R3427"/>
      <c r="S3427"/>
    </row>
    <row r="3428" spans="18:19" x14ac:dyDescent="0.25">
      <c r="R3428"/>
      <c r="S3428"/>
    </row>
    <row r="3429" spans="18:19" x14ac:dyDescent="0.25">
      <c r="R3429"/>
      <c r="S3429"/>
    </row>
    <row r="3430" spans="18:19" x14ac:dyDescent="0.25">
      <c r="R3430"/>
      <c r="S3430"/>
    </row>
    <row r="3431" spans="18:19" x14ac:dyDescent="0.25">
      <c r="R3431"/>
      <c r="S3431"/>
    </row>
    <row r="3432" spans="18:19" x14ac:dyDescent="0.25">
      <c r="R3432"/>
      <c r="S3432"/>
    </row>
    <row r="3433" spans="18:19" x14ac:dyDescent="0.25">
      <c r="R3433"/>
      <c r="S3433"/>
    </row>
    <row r="3434" spans="18:19" x14ac:dyDescent="0.25">
      <c r="R3434"/>
      <c r="S3434"/>
    </row>
    <row r="3435" spans="18:19" x14ac:dyDescent="0.25">
      <c r="R3435"/>
      <c r="S3435"/>
    </row>
    <row r="3436" spans="18:19" x14ac:dyDescent="0.25">
      <c r="R3436"/>
      <c r="S3436"/>
    </row>
    <row r="3437" spans="18:19" x14ac:dyDescent="0.25">
      <c r="R3437"/>
      <c r="S3437"/>
    </row>
    <row r="3438" spans="18:19" x14ac:dyDescent="0.25">
      <c r="R3438"/>
      <c r="S3438"/>
    </row>
    <row r="3439" spans="18:19" x14ac:dyDescent="0.25">
      <c r="R3439"/>
      <c r="S3439"/>
    </row>
    <row r="3440" spans="18:19" x14ac:dyDescent="0.25">
      <c r="R3440"/>
      <c r="S3440"/>
    </row>
    <row r="3441" spans="18:19" x14ac:dyDescent="0.25">
      <c r="R3441"/>
      <c r="S3441"/>
    </row>
    <row r="3442" spans="18:19" x14ac:dyDescent="0.25">
      <c r="R3442"/>
      <c r="S3442"/>
    </row>
    <row r="3443" spans="18:19" x14ac:dyDescent="0.25">
      <c r="R3443"/>
      <c r="S3443"/>
    </row>
    <row r="3444" spans="18:19" x14ac:dyDescent="0.25">
      <c r="R3444"/>
      <c r="S3444"/>
    </row>
    <row r="3445" spans="18:19" x14ac:dyDescent="0.25">
      <c r="R3445"/>
      <c r="S3445"/>
    </row>
    <row r="3446" spans="18:19" x14ac:dyDescent="0.25">
      <c r="R3446"/>
      <c r="S3446"/>
    </row>
    <row r="3447" spans="18:19" x14ac:dyDescent="0.25">
      <c r="R3447"/>
      <c r="S3447"/>
    </row>
    <row r="3448" spans="18:19" x14ac:dyDescent="0.25">
      <c r="R3448"/>
      <c r="S3448"/>
    </row>
    <row r="3449" spans="18:19" x14ac:dyDescent="0.25">
      <c r="R3449"/>
      <c r="S3449"/>
    </row>
    <row r="3450" spans="18:19" x14ac:dyDescent="0.25">
      <c r="R3450"/>
      <c r="S3450"/>
    </row>
    <row r="3451" spans="18:19" x14ac:dyDescent="0.25">
      <c r="R3451"/>
      <c r="S3451"/>
    </row>
    <row r="3452" spans="18:19" x14ac:dyDescent="0.25">
      <c r="R3452"/>
      <c r="S3452"/>
    </row>
    <row r="3453" spans="18:19" x14ac:dyDescent="0.25">
      <c r="R3453"/>
      <c r="S3453"/>
    </row>
    <row r="3454" spans="18:19" x14ac:dyDescent="0.25">
      <c r="R3454"/>
      <c r="S3454"/>
    </row>
    <row r="3455" spans="18:19" x14ac:dyDescent="0.25">
      <c r="R3455"/>
      <c r="S3455"/>
    </row>
    <row r="3456" spans="18:19" x14ac:dyDescent="0.25">
      <c r="R3456"/>
      <c r="S3456"/>
    </row>
    <row r="3457" spans="18:19" x14ac:dyDescent="0.25">
      <c r="R3457"/>
      <c r="S3457"/>
    </row>
    <row r="3458" spans="18:19" x14ac:dyDescent="0.25">
      <c r="R3458"/>
      <c r="S3458"/>
    </row>
    <row r="3459" spans="18:19" x14ac:dyDescent="0.25">
      <c r="R3459"/>
      <c r="S3459"/>
    </row>
    <row r="3460" spans="18:19" x14ac:dyDescent="0.25">
      <c r="R3460"/>
      <c r="S3460"/>
    </row>
    <row r="3461" spans="18:19" x14ac:dyDescent="0.25">
      <c r="R3461"/>
      <c r="S3461"/>
    </row>
    <row r="3462" spans="18:19" x14ac:dyDescent="0.25">
      <c r="R3462"/>
      <c r="S3462"/>
    </row>
    <row r="3463" spans="18:19" x14ac:dyDescent="0.25">
      <c r="R3463"/>
      <c r="S3463"/>
    </row>
    <row r="3464" spans="18:19" x14ac:dyDescent="0.25">
      <c r="R3464"/>
      <c r="S3464"/>
    </row>
    <row r="3465" spans="18:19" x14ac:dyDescent="0.25">
      <c r="R3465"/>
      <c r="S3465"/>
    </row>
    <row r="3466" spans="18:19" x14ac:dyDescent="0.25">
      <c r="R3466"/>
      <c r="S3466"/>
    </row>
    <row r="3467" spans="18:19" x14ac:dyDescent="0.25">
      <c r="R3467"/>
      <c r="S3467"/>
    </row>
    <row r="3468" spans="18:19" x14ac:dyDescent="0.25">
      <c r="R3468"/>
      <c r="S3468"/>
    </row>
    <row r="3469" spans="18:19" x14ac:dyDescent="0.25">
      <c r="R3469"/>
      <c r="S3469"/>
    </row>
    <row r="3470" spans="18:19" x14ac:dyDescent="0.25">
      <c r="R3470"/>
      <c r="S3470"/>
    </row>
    <row r="3471" spans="18:19" x14ac:dyDescent="0.25">
      <c r="R3471"/>
      <c r="S3471"/>
    </row>
    <row r="3472" spans="18:19" x14ac:dyDescent="0.25">
      <c r="R3472"/>
      <c r="S3472"/>
    </row>
    <row r="3473" spans="18:19" x14ac:dyDescent="0.25">
      <c r="R3473"/>
      <c r="S3473"/>
    </row>
    <row r="3474" spans="18:19" x14ac:dyDescent="0.25">
      <c r="R3474"/>
      <c r="S3474"/>
    </row>
    <row r="3475" spans="18:19" x14ac:dyDescent="0.25">
      <c r="R3475"/>
      <c r="S3475"/>
    </row>
    <row r="3476" spans="18:19" x14ac:dyDescent="0.25">
      <c r="R3476"/>
      <c r="S3476"/>
    </row>
    <row r="3477" spans="18:19" x14ac:dyDescent="0.25">
      <c r="R3477"/>
      <c r="S3477"/>
    </row>
    <row r="3478" spans="18:19" x14ac:dyDescent="0.25">
      <c r="R3478"/>
      <c r="S3478"/>
    </row>
    <row r="3479" spans="18:19" x14ac:dyDescent="0.25">
      <c r="R3479"/>
      <c r="S3479"/>
    </row>
    <row r="3480" spans="18:19" x14ac:dyDescent="0.25">
      <c r="R3480"/>
      <c r="S3480"/>
    </row>
    <row r="3481" spans="18:19" x14ac:dyDescent="0.25">
      <c r="R3481"/>
      <c r="S3481"/>
    </row>
    <row r="3482" spans="18:19" x14ac:dyDescent="0.25">
      <c r="R3482"/>
      <c r="S3482"/>
    </row>
    <row r="3483" spans="18:19" x14ac:dyDescent="0.25">
      <c r="R3483"/>
      <c r="S3483"/>
    </row>
    <row r="3484" spans="18:19" x14ac:dyDescent="0.25">
      <c r="R3484"/>
      <c r="S3484"/>
    </row>
    <row r="3485" spans="18:19" x14ac:dyDescent="0.25">
      <c r="R3485"/>
      <c r="S3485"/>
    </row>
    <row r="3486" spans="18:19" x14ac:dyDescent="0.25">
      <c r="R3486"/>
      <c r="S3486"/>
    </row>
    <row r="3487" spans="18:19" x14ac:dyDescent="0.25">
      <c r="R3487"/>
      <c r="S3487"/>
    </row>
    <row r="3488" spans="18:19" x14ac:dyDescent="0.25">
      <c r="R3488"/>
      <c r="S3488"/>
    </row>
    <row r="3489" spans="18:19" x14ac:dyDescent="0.25">
      <c r="R3489"/>
      <c r="S3489"/>
    </row>
    <row r="3490" spans="18:19" x14ac:dyDescent="0.25">
      <c r="R3490"/>
      <c r="S3490"/>
    </row>
    <row r="3491" spans="18:19" x14ac:dyDescent="0.25">
      <c r="R3491"/>
      <c r="S3491"/>
    </row>
    <row r="3492" spans="18:19" x14ac:dyDescent="0.25">
      <c r="R3492"/>
      <c r="S3492"/>
    </row>
    <row r="3493" spans="18:19" x14ac:dyDescent="0.25">
      <c r="R3493"/>
      <c r="S3493"/>
    </row>
    <row r="3494" spans="18:19" x14ac:dyDescent="0.25">
      <c r="R3494"/>
      <c r="S3494"/>
    </row>
    <row r="3495" spans="18:19" x14ac:dyDescent="0.25">
      <c r="R3495"/>
      <c r="S3495"/>
    </row>
    <row r="3496" spans="18:19" x14ac:dyDescent="0.25">
      <c r="R3496"/>
      <c r="S3496"/>
    </row>
    <row r="3497" spans="18:19" x14ac:dyDescent="0.25">
      <c r="R3497"/>
      <c r="S3497"/>
    </row>
    <row r="3498" spans="18:19" x14ac:dyDescent="0.25">
      <c r="R3498"/>
      <c r="S3498"/>
    </row>
    <row r="3499" spans="18:19" x14ac:dyDescent="0.25">
      <c r="R3499"/>
      <c r="S3499"/>
    </row>
    <row r="3500" spans="18:19" x14ac:dyDescent="0.25">
      <c r="R3500"/>
      <c r="S3500"/>
    </row>
    <row r="3501" spans="18:19" x14ac:dyDescent="0.25">
      <c r="R3501"/>
      <c r="S3501"/>
    </row>
    <row r="3502" spans="18:19" x14ac:dyDescent="0.25">
      <c r="R3502"/>
      <c r="S3502"/>
    </row>
    <row r="3503" spans="18:19" x14ac:dyDescent="0.25">
      <c r="R3503"/>
      <c r="S3503"/>
    </row>
    <row r="3504" spans="18:19" x14ac:dyDescent="0.25">
      <c r="R3504"/>
      <c r="S3504"/>
    </row>
    <row r="3505" spans="18:19" x14ac:dyDescent="0.25">
      <c r="R3505"/>
      <c r="S3505"/>
    </row>
    <row r="3506" spans="18:19" x14ac:dyDescent="0.25">
      <c r="R3506"/>
      <c r="S3506"/>
    </row>
    <row r="3507" spans="18:19" x14ac:dyDescent="0.25">
      <c r="R3507"/>
      <c r="S3507"/>
    </row>
    <row r="3508" spans="18:19" x14ac:dyDescent="0.25">
      <c r="R3508"/>
      <c r="S3508"/>
    </row>
    <row r="3509" spans="18:19" x14ac:dyDescent="0.25">
      <c r="R3509"/>
      <c r="S3509"/>
    </row>
    <row r="3510" spans="18:19" x14ac:dyDescent="0.25">
      <c r="R3510"/>
      <c r="S3510"/>
    </row>
    <row r="3511" spans="18:19" x14ac:dyDescent="0.25">
      <c r="R3511"/>
      <c r="S3511"/>
    </row>
    <row r="3512" spans="18:19" x14ac:dyDescent="0.25">
      <c r="R3512"/>
      <c r="S3512"/>
    </row>
    <row r="3513" spans="18:19" x14ac:dyDescent="0.25">
      <c r="R3513"/>
      <c r="S3513"/>
    </row>
    <row r="3514" spans="18:19" x14ac:dyDescent="0.25">
      <c r="R3514"/>
      <c r="S3514"/>
    </row>
    <row r="3515" spans="18:19" x14ac:dyDescent="0.25">
      <c r="R3515"/>
      <c r="S3515"/>
    </row>
    <row r="3516" spans="18:19" x14ac:dyDescent="0.25">
      <c r="R3516"/>
      <c r="S3516"/>
    </row>
    <row r="3517" spans="18:19" x14ac:dyDescent="0.25">
      <c r="R3517"/>
      <c r="S3517"/>
    </row>
    <row r="3518" spans="18:19" x14ac:dyDescent="0.25">
      <c r="R3518"/>
      <c r="S3518"/>
    </row>
    <row r="3519" spans="18:19" x14ac:dyDescent="0.25">
      <c r="R3519"/>
      <c r="S3519"/>
    </row>
    <row r="3520" spans="18:19" x14ac:dyDescent="0.25">
      <c r="R3520"/>
      <c r="S3520"/>
    </row>
    <row r="3521" spans="18:19" x14ac:dyDescent="0.25">
      <c r="R3521"/>
      <c r="S3521"/>
    </row>
    <row r="3522" spans="18:19" x14ac:dyDescent="0.25">
      <c r="R3522"/>
      <c r="S3522"/>
    </row>
    <row r="3523" spans="18:19" x14ac:dyDescent="0.25">
      <c r="R3523"/>
      <c r="S3523"/>
    </row>
    <row r="3524" spans="18:19" x14ac:dyDescent="0.25">
      <c r="R3524"/>
      <c r="S3524"/>
    </row>
    <row r="3525" spans="18:19" x14ac:dyDescent="0.25">
      <c r="R3525"/>
      <c r="S3525"/>
    </row>
    <row r="3526" spans="18:19" x14ac:dyDescent="0.25">
      <c r="R3526"/>
      <c r="S3526"/>
    </row>
    <row r="3527" spans="18:19" x14ac:dyDescent="0.25">
      <c r="R3527"/>
      <c r="S3527"/>
    </row>
    <row r="3528" spans="18:19" x14ac:dyDescent="0.25">
      <c r="R3528"/>
      <c r="S3528"/>
    </row>
    <row r="3529" spans="18:19" x14ac:dyDescent="0.25">
      <c r="R3529"/>
      <c r="S3529"/>
    </row>
    <row r="3530" spans="18:19" x14ac:dyDescent="0.25">
      <c r="R3530"/>
      <c r="S3530"/>
    </row>
    <row r="3531" spans="18:19" x14ac:dyDescent="0.25">
      <c r="R3531"/>
      <c r="S3531"/>
    </row>
    <row r="3532" spans="18:19" x14ac:dyDescent="0.25">
      <c r="R3532"/>
      <c r="S3532"/>
    </row>
    <row r="3533" spans="18:19" x14ac:dyDescent="0.25">
      <c r="R3533"/>
      <c r="S3533"/>
    </row>
    <row r="3534" spans="18:19" x14ac:dyDescent="0.25">
      <c r="R3534"/>
      <c r="S3534"/>
    </row>
    <row r="3535" spans="18:19" x14ac:dyDescent="0.25">
      <c r="R3535"/>
      <c r="S3535"/>
    </row>
    <row r="3536" spans="18:19" x14ac:dyDescent="0.25">
      <c r="R3536"/>
      <c r="S3536"/>
    </row>
    <row r="3537" spans="18:19" x14ac:dyDescent="0.25">
      <c r="R3537"/>
      <c r="S3537"/>
    </row>
    <row r="3538" spans="18:19" x14ac:dyDescent="0.25">
      <c r="R3538"/>
      <c r="S3538"/>
    </row>
    <row r="3539" spans="18:19" x14ac:dyDescent="0.25">
      <c r="R3539"/>
      <c r="S3539"/>
    </row>
    <row r="3540" spans="18:19" x14ac:dyDescent="0.25">
      <c r="R3540"/>
      <c r="S3540"/>
    </row>
    <row r="3541" spans="18:19" x14ac:dyDescent="0.25">
      <c r="R3541"/>
      <c r="S3541"/>
    </row>
    <row r="3542" spans="18:19" x14ac:dyDescent="0.25">
      <c r="R3542"/>
      <c r="S3542"/>
    </row>
    <row r="3543" spans="18:19" x14ac:dyDescent="0.25">
      <c r="R3543"/>
      <c r="S3543"/>
    </row>
    <row r="3544" spans="18:19" x14ac:dyDescent="0.25">
      <c r="R3544"/>
      <c r="S3544"/>
    </row>
    <row r="3545" spans="18:19" x14ac:dyDescent="0.25">
      <c r="R3545"/>
      <c r="S3545"/>
    </row>
    <row r="3546" spans="18:19" x14ac:dyDescent="0.25">
      <c r="R3546"/>
      <c r="S3546"/>
    </row>
    <row r="3547" spans="18:19" x14ac:dyDescent="0.25">
      <c r="R3547"/>
      <c r="S3547"/>
    </row>
    <row r="3548" spans="18:19" x14ac:dyDescent="0.25">
      <c r="R3548"/>
      <c r="S3548"/>
    </row>
    <row r="3549" spans="18:19" x14ac:dyDescent="0.25">
      <c r="R3549"/>
      <c r="S3549"/>
    </row>
    <row r="3550" spans="18:19" x14ac:dyDescent="0.25">
      <c r="R3550"/>
      <c r="S3550"/>
    </row>
    <row r="3551" spans="18:19" x14ac:dyDescent="0.25">
      <c r="R3551"/>
      <c r="S3551"/>
    </row>
    <row r="3552" spans="18:19" x14ac:dyDescent="0.25">
      <c r="R3552"/>
      <c r="S3552"/>
    </row>
    <row r="3553" spans="18:19" x14ac:dyDescent="0.25">
      <c r="R3553"/>
      <c r="S3553"/>
    </row>
    <row r="3554" spans="18:19" x14ac:dyDescent="0.25">
      <c r="R3554"/>
      <c r="S3554"/>
    </row>
    <row r="3555" spans="18:19" x14ac:dyDescent="0.25">
      <c r="R3555"/>
      <c r="S3555"/>
    </row>
    <row r="3556" spans="18:19" x14ac:dyDescent="0.25">
      <c r="R3556"/>
      <c r="S3556"/>
    </row>
    <row r="3557" spans="18:19" x14ac:dyDescent="0.25">
      <c r="R3557"/>
      <c r="S3557"/>
    </row>
    <row r="3558" spans="18:19" x14ac:dyDescent="0.25">
      <c r="R3558"/>
      <c r="S3558"/>
    </row>
    <row r="3559" spans="18:19" x14ac:dyDescent="0.25">
      <c r="R3559"/>
      <c r="S3559"/>
    </row>
    <row r="3560" spans="18:19" x14ac:dyDescent="0.25">
      <c r="R3560"/>
      <c r="S3560"/>
    </row>
    <row r="3561" spans="18:19" x14ac:dyDescent="0.25">
      <c r="R3561"/>
      <c r="S3561"/>
    </row>
    <row r="3562" spans="18:19" x14ac:dyDescent="0.25">
      <c r="R3562"/>
      <c r="S3562"/>
    </row>
    <row r="3563" spans="18:19" x14ac:dyDescent="0.25">
      <c r="R3563"/>
      <c r="S3563"/>
    </row>
    <row r="3564" spans="18:19" x14ac:dyDescent="0.25">
      <c r="R3564"/>
      <c r="S3564"/>
    </row>
    <row r="3565" spans="18:19" x14ac:dyDescent="0.25">
      <c r="R3565"/>
      <c r="S3565"/>
    </row>
    <row r="3566" spans="18:19" x14ac:dyDescent="0.25">
      <c r="R3566"/>
      <c r="S3566"/>
    </row>
    <row r="3567" spans="18:19" x14ac:dyDescent="0.25">
      <c r="R3567"/>
      <c r="S3567"/>
    </row>
    <row r="3568" spans="18:19" x14ac:dyDescent="0.25">
      <c r="R3568"/>
      <c r="S3568"/>
    </row>
    <row r="3569" spans="18:19" x14ac:dyDescent="0.25">
      <c r="R3569"/>
      <c r="S3569"/>
    </row>
    <row r="3570" spans="18:19" x14ac:dyDescent="0.25">
      <c r="R3570"/>
      <c r="S3570"/>
    </row>
    <row r="3571" spans="18:19" x14ac:dyDescent="0.25">
      <c r="R3571"/>
      <c r="S3571"/>
    </row>
    <row r="3572" spans="18:19" x14ac:dyDescent="0.25">
      <c r="R3572"/>
      <c r="S3572"/>
    </row>
    <row r="3573" spans="18:19" x14ac:dyDescent="0.25">
      <c r="R3573"/>
      <c r="S3573"/>
    </row>
    <row r="3574" spans="18:19" x14ac:dyDescent="0.25">
      <c r="R3574"/>
      <c r="S3574"/>
    </row>
    <row r="3575" spans="18:19" x14ac:dyDescent="0.25">
      <c r="R3575"/>
      <c r="S3575"/>
    </row>
    <row r="3576" spans="18:19" x14ac:dyDescent="0.25">
      <c r="R3576"/>
      <c r="S3576"/>
    </row>
    <row r="3577" spans="18:19" x14ac:dyDescent="0.25">
      <c r="R3577"/>
      <c r="S3577"/>
    </row>
    <row r="3578" spans="18:19" x14ac:dyDescent="0.25">
      <c r="R3578"/>
      <c r="S3578"/>
    </row>
    <row r="3579" spans="18:19" x14ac:dyDescent="0.25">
      <c r="R3579"/>
      <c r="S3579"/>
    </row>
    <row r="3580" spans="18:19" x14ac:dyDescent="0.25">
      <c r="R3580"/>
      <c r="S3580"/>
    </row>
    <row r="3581" spans="18:19" x14ac:dyDescent="0.25">
      <c r="R3581"/>
      <c r="S3581"/>
    </row>
    <row r="3582" spans="18:19" x14ac:dyDescent="0.25">
      <c r="R3582"/>
      <c r="S3582"/>
    </row>
    <row r="3583" spans="18:19" x14ac:dyDescent="0.25">
      <c r="R3583"/>
      <c r="S3583"/>
    </row>
    <row r="3584" spans="18:19" x14ac:dyDescent="0.25">
      <c r="R3584"/>
      <c r="S3584"/>
    </row>
    <row r="3585" spans="18:19" x14ac:dyDescent="0.25">
      <c r="R3585"/>
      <c r="S3585"/>
    </row>
    <row r="3586" spans="18:19" x14ac:dyDescent="0.25">
      <c r="R3586"/>
      <c r="S3586"/>
    </row>
    <row r="3587" spans="18:19" x14ac:dyDescent="0.25">
      <c r="R3587"/>
      <c r="S3587"/>
    </row>
    <row r="3588" spans="18:19" x14ac:dyDescent="0.25">
      <c r="R3588"/>
      <c r="S3588"/>
    </row>
    <row r="3589" spans="18:19" x14ac:dyDescent="0.25">
      <c r="R3589"/>
      <c r="S3589"/>
    </row>
    <row r="3590" spans="18:19" x14ac:dyDescent="0.25">
      <c r="R3590"/>
      <c r="S3590"/>
    </row>
    <row r="3591" spans="18:19" x14ac:dyDescent="0.25">
      <c r="R3591"/>
      <c r="S3591"/>
    </row>
    <row r="3592" spans="18:19" x14ac:dyDescent="0.25">
      <c r="R3592"/>
      <c r="S3592"/>
    </row>
    <row r="3593" spans="18:19" x14ac:dyDescent="0.25">
      <c r="R3593"/>
      <c r="S3593"/>
    </row>
    <row r="3594" spans="18:19" x14ac:dyDescent="0.25">
      <c r="R3594"/>
      <c r="S3594"/>
    </row>
    <row r="3595" spans="18:19" x14ac:dyDescent="0.25">
      <c r="R3595"/>
      <c r="S3595"/>
    </row>
    <row r="3596" spans="18:19" x14ac:dyDescent="0.25">
      <c r="R3596"/>
      <c r="S3596"/>
    </row>
    <row r="3597" spans="18:19" x14ac:dyDescent="0.25">
      <c r="R3597"/>
      <c r="S3597"/>
    </row>
    <row r="3598" spans="18:19" x14ac:dyDescent="0.25">
      <c r="R3598"/>
      <c r="S3598"/>
    </row>
    <row r="3599" spans="18:19" x14ac:dyDescent="0.25">
      <c r="R3599"/>
      <c r="S3599"/>
    </row>
    <row r="3600" spans="18:19" x14ac:dyDescent="0.25">
      <c r="R3600"/>
      <c r="S3600"/>
    </row>
    <row r="3601" spans="18:19" x14ac:dyDescent="0.25">
      <c r="R3601"/>
      <c r="S3601"/>
    </row>
    <row r="3602" spans="18:19" x14ac:dyDescent="0.25">
      <c r="R3602"/>
      <c r="S3602"/>
    </row>
    <row r="3603" spans="18:19" x14ac:dyDescent="0.25">
      <c r="R3603"/>
      <c r="S3603"/>
    </row>
    <row r="3604" spans="18:19" x14ac:dyDescent="0.25">
      <c r="R3604"/>
      <c r="S3604"/>
    </row>
    <row r="3605" spans="18:19" x14ac:dyDescent="0.25">
      <c r="R3605"/>
      <c r="S3605"/>
    </row>
    <row r="3606" spans="18:19" x14ac:dyDescent="0.25">
      <c r="R3606"/>
      <c r="S3606"/>
    </row>
    <row r="3607" spans="18:19" x14ac:dyDescent="0.25">
      <c r="R3607"/>
      <c r="S3607"/>
    </row>
    <row r="3608" spans="18:19" x14ac:dyDescent="0.25">
      <c r="R3608"/>
      <c r="S3608"/>
    </row>
    <row r="3609" spans="18:19" x14ac:dyDescent="0.25">
      <c r="R3609"/>
      <c r="S3609"/>
    </row>
    <row r="3610" spans="18:19" x14ac:dyDescent="0.25">
      <c r="R3610"/>
      <c r="S3610"/>
    </row>
    <row r="3611" spans="18:19" x14ac:dyDescent="0.25">
      <c r="R3611"/>
      <c r="S3611"/>
    </row>
    <row r="3612" spans="18:19" x14ac:dyDescent="0.25">
      <c r="R3612"/>
      <c r="S3612"/>
    </row>
    <row r="3613" spans="18:19" x14ac:dyDescent="0.25">
      <c r="R3613"/>
      <c r="S3613"/>
    </row>
    <row r="3614" spans="18:19" x14ac:dyDescent="0.25">
      <c r="R3614"/>
      <c r="S3614"/>
    </row>
    <row r="3615" spans="18:19" x14ac:dyDescent="0.25">
      <c r="R3615"/>
      <c r="S3615"/>
    </row>
    <row r="3616" spans="18:19" x14ac:dyDescent="0.25">
      <c r="R3616"/>
      <c r="S3616"/>
    </row>
    <row r="3617" spans="18:19" x14ac:dyDescent="0.25">
      <c r="R3617"/>
      <c r="S3617"/>
    </row>
    <row r="3618" spans="18:19" x14ac:dyDescent="0.25">
      <c r="R3618"/>
      <c r="S3618"/>
    </row>
    <row r="3619" spans="18:19" x14ac:dyDescent="0.25">
      <c r="R3619"/>
      <c r="S3619"/>
    </row>
    <row r="3620" spans="18:19" x14ac:dyDescent="0.25">
      <c r="R3620"/>
      <c r="S3620"/>
    </row>
    <row r="3621" spans="18:19" x14ac:dyDescent="0.25">
      <c r="R3621"/>
      <c r="S3621"/>
    </row>
    <row r="3622" spans="18:19" x14ac:dyDescent="0.25">
      <c r="R3622"/>
      <c r="S3622"/>
    </row>
    <row r="3623" spans="18:19" x14ac:dyDescent="0.25">
      <c r="R3623"/>
      <c r="S3623"/>
    </row>
    <row r="3624" spans="18:19" x14ac:dyDescent="0.25">
      <c r="R3624"/>
      <c r="S3624"/>
    </row>
    <row r="3625" spans="18:19" x14ac:dyDescent="0.25">
      <c r="R3625"/>
      <c r="S3625"/>
    </row>
    <row r="3626" spans="18:19" x14ac:dyDescent="0.25">
      <c r="R3626"/>
      <c r="S3626"/>
    </row>
    <row r="3627" spans="18:19" x14ac:dyDescent="0.25">
      <c r="R3627"/>
      <c r="S3627"/>
    </row>
    <row r="3628" spans="18:19" x14ac:dyDescent="0.25">
      <c r="R3628"/>
      <c r="S3628"/>
    </row>
    <row r="3629" spans="18:19" x14ac:dyDescent="0.25">
      <c r="R3629"/>
      <c r="S3629"/>
    </row>
    <row r="3630" spans="18:19" x14ac:dyDescent="0.25">
      <c r="R3630"/>
      <c r="S3630"/>
    </row>
    <row r="3631" spans="18:19" x14ac:dyDescent="0.25">
      <c r="R3631"/>
      <c r="S3631"/>
    </row>
    <row r="3632" spans="18:19" x14ac:dyDescent="0.25">
      <c r="R3632"/>
      <c r="S3632"/>
    </row>
    <row r="3633" spans="18:19" x14ac:dyDescent="0.25">
      <c r="R3633"/>
      <c r="S3633"/>
    </row>
    <row r="3634" spans="18:19" x14ac:dyDescent="0.25">
      <c r="R3634"/>
      <c r="S3634"/>
    </row>
    <row r="3635" spans="18:19" x14ac:dyDescent="0.25">
      <c r="R3635"/>
      <c r="S3635"/>
    </row>
    <row r="3636" spans="18:19" x14ac:dyDescent="0.25">
      <c r="R3636"/>
      <c r="S3636"/>
    </row>
    <row r="3637" spans="18:19" x14ac:dyDescent="0.25">
      <c r="R3637"/>
      <c r="S3637"/>
    </row>
    <row r="3638" spans="18:19" x14ac:dyDescent="0.25">
      <c r="R3638"/>
      <c r="S3638"/>
    </row>
    <row r="3639" spans="18:19" x14ac:dyDescent="0.25">
      <c r="R3639"/>
      <c r="S3639"/>
    </row>
    <row r="3640" spans="18:19" x14ac:dyDescent="0.25">
      <c r="R3640"/>
      <c r="S3640"/>
    </row>
    <row r="3641" spans="18:19" x14ac:dyDescent="0.25">
      <c r="R3641"/>
      <c r="S3641"/>
    </row>
    <row r="3642" spans="18:19" x14ac:dyDescent="0.25">
      <c r="R3642"/>
      <c r="S3642"/>
    </row>
    <row r="3643" spans="18:19" x14ac:dyDescent="0.25">
      <c r="R3643"/>
      <c r="S3643"/>
    </row>
    <row r="3644" spans="18:19" x14ac:dyDescent="0.25">
      <c r="R3644"/>
      <c r="S3644"/>
    </row>
    <row r="3645" spans="18:19" x14ac:dyDescent="0.25">
      <c r="R3645"/>
      <c r="S3645"/>
    </row>
    <row r="3646" spans="18:19" x14ac:dyDescent="0.25">
      <c r="R3646"/>
      <c r="S3646"/>
    </row>
    <row r="3647" spans="18:19" x14ac:dyDescent="0.25">
      <c r="R3647"/>
      <c r="S3647"/>
    </row>
    <row r="3648" spans="18:19" x14ac:dyDescent="0.25">
      <c r="R3648"/>
      <c r="S3648"/>
    </row>
    <row r="3649" spans="18:19" x14ac:dyDescent="0.25">
      <c r="R3649"/>
      <c r="S3649"/>
    </row>
    <row r="3650" spans="18:19" x14ac:dyDescent="0.25">
      <c r="R3650"/>
      <c r="S3650"/>
    </row>
    <row r="3651" spans="18:19" x14ac:dyDescent="0.25">
      <c r="R3651"/>
      <c r="S3651"/>
    </row>
    <row r="3652" spans="18:19" x14ac:dyDescent="0.25">
      <c r="R3652"/>
      <c r="S3652"/>
    </row>
    <row r="3653" spans="18:19" x14ac:dyDescent="0.25">
      <c r="R3653"/>
      <c r="S3653"/>
    </row>
    <row r="3654" spans="18:19" x14ac:dyDescent="0.25">
      <c r="R3654"/>
      <c r="S3654"/>
    </row>
    <row r="3655" spans="18:19" x14ac:dyDescent="0.25">
      <c r="R3655"/>
      <c r="S3655"/>
    </row>
    <row r="3656" spans="18:19" x14ac:dyDescent="0.25">
      <c r="R3656"/>
      <c r="S3656"/>
    </row>
    <row r="3657" spans="18:19" x14ac:dyDescent="0.25">
      <c r="R3657"/>
      <c r="S3657"/>
    </row>
    <row r="3658" spans="18:19" x14ac:dyDescent="0.25">
      <c r="R3658"/>
      <c r="S3658"/>
    </row>
    <row r="3659" spans="18:19" x14ac:dyDescent="0.25">
      <c r="R3659"/>
      <c r="S3659"/>
    </row>
    <row r="3660" spans="18:19" x14ac:dyDescent="0.25">
      <c r="R3660"/>
      <c r="S3660"/>
    </row>
    <row r="3661" spans="18:19" x14ac:dyDescent="0.25">
      <c r="R3661"/>
      <c r="S3661"/>
    </row>
    <row r="3662" spans="18:19" x14ac:dyDescent="0.25">
      <c r="R3662"/>
      <c r="S3662"/>
    </row>
    <row r="3663" spans="18:19" x14ac:dyDescent="0.25">
      <c r="R3663"/>
      <c r="S3663"/>
    </row>
    <row r="3664" spans="18:19" x14ac:dyDescent="0.25">
      <c r="R3664"/>
      <c r="S3664"/>
    </row>
    <row r="3665" spans="18:19" x14ac:dyDescent="0.25">
      <c r="R3665"/>
      <c r="S3665"/>
    </row>
    <row r="3666" spans="18:19" x14ac:dyDescent="0.25">
      <c r="R3666"/>
      <c r="S3666"/>
    </row>
    <row r="3667" spans="18:19" x14ac:dyDescent="0.25">
      <c r="R3667"/>
      <c r="S3667"/>
    </row>
    <row r="3668" spans="18:19" x14ac:dyDescent="0.25">
      <c r="R3668"/>
      <c r="S3668"/>
    </row>
    <row r="3669" spans="18:19" x14ac:dyDescent="0.25">
      <c r="R3669"/>
      <c r="S3669"/>
    </row>
    <row r="3670" spans="18:19" x14ac:dyDescent="0.25">
      <c r="R3670"/>
      <c r="S3670"/>
    </row>
    <row r="3671" spans="18:19" x14ac:dyDescent="0.25">
      <c r="R3671"/>
      <c r="S3671"/>
    </row>
    <row r="3672" spans="18:19" x14ac:dyDescent="0.25">
      <c r="R3672"/>
      <c r="S3672"/>
    </row>
    <row r="3673" spans="18:19" x14ac:dyDescent="0.25">
      <c r="R3673"/>
      <c r="S3673"/>
    </row>
    <row r="3674" spans="18:19" x14ac:dyDescent="0.25">
      <c r="R3674"/>
      <c r="S3674"/>
    </row>
    <row r="3675" spans="18:19" x14ac:dyDescent="0.25">
      <c r="R3675"/>
      <c r="S3675"/>
    </row>
    <row r="3676" spans="18:19" x14ac:dyDescent="0.25">
      <c r="R3676"/>
      <c r="S3676"/>
    </row>
    <row r="3677" spans="18:19" x14ac:dyDescent="0.25">
      <c r="R3677"/>
      <c r="S3677"/>
    </row>
    <row r="3678" spans="18:19" x14ac:dyDescent="0.25">
      <c r="R3678"/>
      <c r="S3678"/>
    </row>
    <row r="3679" spans="18:19" x14ac:dyDescent="0.25">
      <c r="R3679"/>
      <c r="S3679"/>
    </row>
    <row r="3680" spans="18:19" x14ac:dyDescent="0.25">
      <c r="R3680"/>
      <c r="S3680"/>
    </row>
    <row r="3681" spans="18:19" x14ac:dyDescent="0.25">
      <c r="R3681"/>
      <c r="S3681"/>
    </row>
    <row r="3682" spans="18:19" x14ac:dyDescent="0.25">
      <c r="R3682"/>
      <c r="S3682"/>
    </row>
    <row r="3683" spans="18:19" x14ac:dyDescent="0.25">
      <c r="R3683"/>
      <c r="S3683"/>
    </row>
    <row r="3684" spans="18:19" x14ac:dyDescent="0.25">
      <c r="R3684"/>
      <c r="S3684"/>
    </row>
    <row r="3685" spans="18:19" x14ac:dyDescent="0.25">
      <c r="R3685"/>
      <c r="S3685"/>
    </row>
    <row r="3686" spans="18:19" x14ac:dyDescent="0.25">
      <c r="R3686"/>
      <c r="S3686"/>
    </row>
    <row r="3687" spans="18:19" x14ac:dyDescent="0.25">
      <c r="R3687"/>
      <c r="S3687"/>
    </row>
    <row r="3688" spans="18:19" x14ac:dyDescent="0.25">
      <c r="R3688"/>
      <c r="S3688"/>
    </row>
    <row r="3689" spans="18:19" x14ac:dyDescent="0.25">
      <c r="R3689"/>
      <c r="S3689"/>
    </row>
    <row r="3690" spans="18:19" x14ac:dyDescent="0.25">
      <c r="R3690"/>
      <c r="S3690"/>
    </row>
    <row r="3691" spans="18:19" x14ac:dyDescent="0.25">
      <c r="R3691"/>
      <c r="S3691"/>
    </row>
    <row r="3692" spans="18:19" x14ac:dyDescent="0.25">
      <c r="R3692"/>
      <c r="S3692"/>
    </row>
    <row r="3693" spans="18:19" x14ac:dyDescent="0.25">
      <c r="R3693"/>
      <c r="S3693"/>
    </row>
    <row r="3694" spans="18:19" x14ac:dyDescent="0.25">
      <c r="R3694"/>
      <c r="S3694"/>
    </row>
    <row r="3695" spans="18:19" x14ac:dyDescent="0.25">
      <c r="R3695"/>
      <c r="S3695"/>
    </row>
    <row r="3696" spans="18:19" x14ac:dyDescent="0.25">
      <c r="R3696"/>
      <c r="S3696"/>
    </row>
    <row r="3697" spans="18:19" x14ac:dyDescent="0.25">
      <c r="R3697"/>
      <c r="S3697"/>
    </row>
    <row r="3698" spans="18:19" x14ac:dyDescent="0.25">
      <c r="R3698"/>
      <c r="S3698"/>
    </row>
    <row r="3699" spans="18:19" x14ac:dyDescent="0.25">
      <c r="R3699"/>
      <c r="S3699"/>
    </row>
    <row r="3700" spans="18:19" x14ac:dyDescent="0.25">
      <c r="R3700"/>
      <c r="S3700"/>
    </row>
    <row r="3701" spans="18:19" x14ac:dyDescent="0.25">
      <c r="R3701"/>
      <c r="S3701"/>
    </row>
    <row r="3702" spans="18:19" x14ac:dyDescent="0.25">
      <c r="R3702"/>
      <c r="S3702"/>
    </row>
    <row r="3703" spans="18:19" x14ac:dyDescent="0.25">
      <c r="R3703"/>
      <c r="S3703"/>
    </row>
    <row r="3704" spans="18:19" x14ac:dyDescent="0.25">
      <c r="R3704"/>
      <c r="S3704"/>
    </row>
    <row r="3705" spans="18:19" x14ac:dyDescent="0.25">
      <c r="R3705"/>
      <c r="S3705"/>
    </row>
    <row r="3706" spans="18:19" x14ac:dyDescent="0.25">
      <c r="R3706"/>
      <c r="S3706"/>
    </row>
    <row r="3707" spans="18:19" x14ac:dyDescent="0.25">
      <c r="R3707"/>
      <c r="S3707"/>
    </row>
    <row r="3708" spans="18:19" x14ac:dyDescent="0.25">
      <c r="R3708"/>
      <c r="S3708"/>
    </row>
    <row r="3709" spans="18:19" x14ac:dyDescent="0.25">
      <c r="R3709"/>
      <c r="S3709"/>
    </row>
    <row r="3710" spans="18:19" x14ac:dyDescent="0.25">
      <c r="R3710"/>
      <c r="S3710"/>
    </row>
    <row r="3711" spans="18:19" x14ac:dyDescent="0.25">
      <c r="R3711"/>
      <c r="S3711"/>
    </row>
    <row r="3712" spans="18:19" x14ac:dyDescent="0.25">
      <c r="R3712"/>
      <c r="S3712"/>
    </row>
    <row r="3713" spans="18:19" x14ac:dyDescent="0.25">
      <c r="R3713"/>
      <c r="S3713"/>
    </row>
    <row r="3714" spans="18:19" x14ac:dyDescent="0.25">
      <c r="R3714"/>
      <c r="S3714"/>
    </row>
    <row r="3715" spans="18:19" x14ac:dyDescent="0.25">
      <c r="R3715"/>
      <c r="S3715"/>
    </row>
    <row r="3716" spans="18:19" x14ac:dyDescent="0.25">
      <c r="R3716"/>
      <c r="S3716"/>
    </row>
    <row r="3717" spans="18:19" x14ac:dyDescent="0.25">
      <c r="R3717"/>
      <c r="S3717"/>
    </row>
    <row r="3718" spans="18:19" x14ac:dyDescent="0.25">
      <c r="R3718"/>
      <c r="S3718"/>
    </row>
    <row r="3719" spans="18:19" x14ac:dyDescent="0.25">
      <c r="R3719"/>
      <c r="S3719"/>
    </row>
    <row r="3720" spans="18:19" x14ac:dyDescent="0.25">
      <c r="R3720"/>
      <c r="S3720"/>
    </row>
    <row r="3721" spans="18:19" x14ac:dyDescent="0.25">
      <c r="R3721"/>
      <c r="S3721"/>
    </row>
    <row r="3722" spans="18:19" x14ac:dyDescent="0.25">
      <c r="R3722"/>
      <c r="S3722"/>
    </row>
    <row r="3723" spans="18:19" x14ac:dyDescent="0.25">
      <c r="R3723"/>
      <c r="S3723"/>
    </row>
    <row r="3724" spans="18:19" x14ac:dyDescent="0.25">
      <c r="R3724"/>
      <c r="S3724"/>
    </row>
    <row r="3725" spans="18:19" x14ac:dyDescent="0.25">
      <c r="R3725"/>
      <c r="S3725"/>
    </row>
    <row r="3726" spans="18:19" x14ac:dyDescent="0.25">
      <c r="R3726"/>
      <c r="S3726"/>
    </row>
    <row r="3727" spans="18:19" x14ac:dyDescent="0.25">
      <c r="R3727"/>
      <c r="S3727"/>
    </row>
    <row r="3728" spans="18:19" x14ac:dyDescent="0.25">
      <c r="R3728"/>
      <c r="S3728"/>
    </row>
    <row r="3729" spans="18:19" x14ac:dyDescent="0.25">
      <c r="R3729"/>
      <c r="S3729"/>
    </row>
    <row r="3730" spans="18:19" x14ac:dyDescent="0.25">
      <c r="R3730"/>
      <c r="S3730"/>
    </row>
    <row r="3731" spans="18:19" x14ac:dyDescent="0.25">
      <c r="R3731"/>
      <c r="S3731"/>
    </row>
    <row r="3732" spans="18:19" x14ac:dyDescent="0.25">
      <c r="R3732"/>
      <c r="S3732"/>
    </row>
    <row r="3733" spans="18:19" x14ac:dyDescent="0.25">
      <c r="R3733"/>
      <c r="S3733"/>
    </row>
    <row r="3734" spans="18:19" x14ac:dyDescent="0.25">
      <c r="R3734"/>
      <c r="S3734"/>
    </row>
    <row r="3735" spans="18:19" x14ac:dyDescent="0.25">
      <c r="R3735"/>
      <c r="S3735"/>
    </row>
    <row r="3736" spans="18:19" x14ac:dyDescent="0.25">
      <c r="R3736"/>
      <c r="S3736"/>
    </row>
    <row r="3737" spans="18:19" x14ac:dyDescent="0.25">
      <c r="R3737"/>
      <c r="S3737"/>
    </row>
    <row r="3738" spans="18:19" x14ac:dyDescent="0.25">
      <c r="R3738"/>
      <c r="S3738"/>
    </row>
    <row r="3739" spans="18:19" x14ac:dyDescent="0.25">
      <c r="R3739"/>
      <c r="S3739"/>
    </row>
    <row r="3740" spans="18:19" x14ac:dyDescent="0.25">
      <c r="R3740"/>
      <c r="S3740"/>
    </row>
    <row r="3741" spans="18:19" x14ac:dyDescent="0.25">
      <c r="R3741"/>
      <c r="S3741"/>
    </row>
    <row r="3742" spans="18:19" x14ac:dyDescent="0.25">
      <c r="R3742"/>
      <c r="S3742"/>
    </row>
    <row r="3743" spans="18:19" x14ac:dyDescent="0.25">
      <c r="R3743"/>
      <c r="S3743"/>
    </row>
    <row r="3744" spans="18:19" x14ac:dyDescent="0.25">
      <c r="R3744"/>
      <c r="S3744"/>
    </row>
    <row r="3745" spans="18:19" x14ac:dyDescent="0.25">
      <c r="R3745"/>
      <c r="S3745"/>
    </row>
    <row r="3746" spans="18:19" x14ac:dyDescent="0.25">
      <c r="R3746"/>
      <c r="S3746"/>
    </row>
    <row r="3747" spans="18:19" x14ac:dyDescent="0.25">
      <c r="R3747"/>
      <c r="S3747"/>
    </row>
    <row r="3748" spans="18:19" x14ac:dyDescent="0.25">
      <c r="R3748"/>
      <c r="S3748"/>
    </row>
    <row r="3749" spans="18:19" x14ac:dyDescent="0.25">
      <c r="R3749"/>
      <c r="S3749"/>
    </row>
    <row r="3750" spans="18:19" x14ac:dyDescent="0.25">
      <c r="R3750"/>
      <c r="S3750"/>
    </row>
    <row r="3751" spans="18:19" x14ac:dyDescent="0.25">
      <c r="R3751"/>
      <c r="S3751"/>
    </row>
    <row r="3752" spans="18:19" x14ac:dyDescent="0.25">
      <c r="R3752"/>
      <c r="S3752"/>
    </row>
    <row r="3753" spans="18:19" x14ac:dyDescent="0.25">
      <c r="R3753"/>
      <c r="S3753"/>
    </row>
    <row r="3754" spans="18:19" x14ac:dyDescent="0.25">
      <c r="R3754"/>
      <c r="S3754"/>
    </row>
    <row r="3755" spans="18:19" x14ac:dyDescent="0.25">
      <c r="R3755"/>
      <c r="S3755"/>
    </row>
    <row r="3756" spans="18:19" x14ac:dyDescent="0.25">
      <c r="R3756"/>
      <c r="S3756"/>
    </row>
    <row r="3757" spans="18:19" x14ac:dyDescent="0.25">
      <c r="R3757"/>
      <c r="S3757"/>
    </row>
    <row r="3758" spans="18:19" x14ac:dyDescent="0.25">
      <c r="R3758"/>
      <c r="S3758"/>
    </row>
    <row r="3759" spans="18:19" x14ac:dyDescent="0.25">
      <c r="R3759"/>
      <c r="S3759"/>
    </row>
    <row r="3760" spans="18:19" x14ac:dyDescent="0.25">
      <c r="R3760"/>
      <c r="S3760"/>
    </row>
    <row r="3761" spans="18:19" x14ac:dyDescent="0.25">
      <c r="R3761"/>
      <c r="S3761"/>
    </row>
    <row r="3762" spans="18:19" x14ac:dyDescent="0.25">
      <c r="R3762"/>
      <c r="S3762"/>
    </row>
    <row r="3763" spans="18:19" x14ac:dyDescent="0.25">
      <c r="R3763"/>
      <c r="S3763"/>
    </row>
    <row r="3764" spans="18:19" x14ac:dyDescent="0.25">
      <c r="R3764"/>
      <c r="S3764"/>
    </row>
    <row r="3765" spans="18:19" x14ac:dyDescent="0.25">
      <c r="R3765"/>
      <c r="S3765"/>
    </row>
    <row r="3766" spans="18:19" x14ac:dyDescent="0.25">
      <c r="R3766"/>
      <c r="S3766"/>
    </row>
    <row r="3767" spans="18:19" x14ac:dyDescent="0.25">
      <c r="R3767"/>
      <c r="S3767"/>
    </row>
    <row r="3768" spans="18:19" x14ac:dyDescent="0.25">
      <c r="R3768"/>
      <c r="S3768"/>
    </row>
    <row r="3769" spans="18:19" x14ac:dyDescent="0.25">
      <c r="R3769"/>
      <c r="S3769"/>
    </row>
    <row r="3770" spans="18:19" x14ac:dyDescent="0.25">
      <c r="R3770"/>
      <c r="S3770"/>
    </row>
    <row r="3771" spans="18:19" x14ac:dyDescent="0.25">
      <c r="R3771"/>
      <c r="S3771"/>
    </row>
    <row r="3772" spans="18:19" x14ac:dyDescent="0.25">
      <c r="R3772"/>
      <c r="S3772"/>
    </row>
    <row r="3773" spans="18:19" x14ac:dyDescent="0.25">
      <c r="R3773"/>
      <c r="S3773"/>
    </row>
    <row r="3774" spans="18:19" x14ac:dyDescent="0.25">
      <c r="R3774"/>
      <c r="S3774"/>
    </row>
    <row r="3775" spans="18:19" x14ac:dyDescent="0.25">
      <c r="R3775"/>
      <c r="S3775"/>
    </row>
    <row r="3776" spans="18:19" x14ac:dyDescent="0.25">
      <c r="R3776"/>
      <c r="S3776"/>
    </row>
    <row r="3777" spans="18:19" x14ac:dyDescent="0.25">
      <c r="R3777"/>
      <c r="S3777"/>
    </row>
    <row r="3778" spans="18:19" x14ac:dyDescent="0.25">
      <c r="R3778"/>
      <c r="S3778"/>
    </row>
    <row r="3779" spans="18:19" x14ac:dyDescent="0.25">
      <c r="R3779"/>
      <c r="S3779"/>
    </row>
    <row r="3780" spans="18:19" x14ac:dyDescent="0.25">
      <c r="R3780"/>
      <c r="S3780"/>
    </row>
    <row r="3781" spans="18:19" x14ac:dyDescent="0.25">
      <c r="R3781"/>
      <c r="S3781"/>
    </row>
    <row r="3782" spans="18:19" x14ac:dyDescent="0.25">
      <c r="R3782"/>
      <c r="S3782"/>
    </row>
    <row r="3783" spans="18:19" x14ac:dyDescent="0.25">
      <c r="R3783"/>
      <c r="S3783"/>
    </row>
    <row r="3784" spans="18:19" x14ac:dyDescent="0.25">
      <c r="R3784"/>
      <c r="S3784"/>
    </row>
    <row r="3785" spans="18:19" x14ac:dyDescent="0.25">
      <c r="R3785"/>
      <c r="S3785"/>
    </row>
    <row r="3786" spans="18:19" x14ac:dyDescent="0.25">
      <c r="R3786"/>
      <c r="S3786"/>
    </row>
    <row r="3787" spans="18:19" x14ac:dyDescent="0.25">
      <c r="R3787"/>
      <c r="S3787"/>
    </row>
    <row r="3788" spans="18:19" x14ac:dyDescent="0.25">
      <c r="R3788"/>
      <c r="S3788"/>
    </row>
    <row r="3789" spans="18:19" x14ac:dyDescent="0.25">
      <c r="R3789"/>
      <c r="S3789"/>
    </row>
    <row r="3790" spans="18:19" x14ac:dyDescent="0.25">
      <c r="R3790"/>
      <c r="S3790"/>
    </row>
    <row r="3791" spans="18:19" x14ac:dyDescent="0.25">
      <c r="R3791"/>
      <c r="S3791"/>
    </row>
    <row r="3792" spans="18:19" x14ac:dyDescent="0.25">
      <c r="R3792"/>
      <c r="S3792"/>
    </row>
    <row r="3793" spans="18:19" x14ac:dyDescent="0.25">
      <c r="R3793"/>
      <c r="S3793"/>
    </row>
    <row r="3794" spans="18:19" x14ac:dyDescent="0.25">
      <c r="R3794"/>
      <c r="S3794"/>
    </row>
    <row r="3795" spans="18:19" x14ac:dyDescent="0.25">
      <c r="R3795"/>
      <c r="S3795"/>
    </row>
    <row r="3796" spans="18:19" x14ac:dyDescent="0.25">
      <c r="R3796"/>
      <c r="S3796"/>
    </row>
    <row r="3797" spans="18:19" x14ac:dyDescent="0.25">
      <c r="R3797"/>
      <c r="S3797"/>
    </row>
    <row r="3798" spans="18:19" x14ac:dyDescent="0.25">
      <c r="R3798"/>
      <c r="S3798"/>
    </row>
    <row r="3799" spans="18:19" x14ac:dyDescent="0.25">
      <c r="R3799"/>
      <c r="S3799"/>
    </row>
    <row r="3800" spans="18:19" x14ac:dyDescent="0.25">
      <c r="R3800"/>
      <c r="S3800"/>
    </row>
    <row r="3801" spans="18:19" x14ac:dyDescent="0.25">
      <c r="R3801"/>
      <c r="S3801"/>
    </row>
    <row r="3802" spans="18:19" x14ac:dyDescent="0.25">
      <c r="R3802"/>
      <c r="S3802"/>
    </row>
    <row r="3803" spans="18:19" x14ac:dyDescent="0.25">
      <c r="R3803"/>
      <c r="S3803"/>
    </row>
    <row r="3804" spans="18:19" x14ac:dyDescent="0.25">
      <c r="R3804"/>
      <c r="S3804"/>
    </row>
    <row r="3805" spans="18:19" x14ac:dyDescent="0.25">
      <c r="R3805"/>
      <c r="S3805"/>
    </row>
    <row r="3806" spans="18:19" x14ac:dyDescent="0.25">
      <c r="R3806"/>
      <c r="S3806"/>
    </row>
    <row r="3807" spans="18:19" x14ac:dyDescent="0.25">
      <c r="R3807"/>
      <c r="S3807"/>
    </row>
    <row r="3808" spans="18:19" x14ac:dyDescent="0.25">
      <c r="R3808"/>
      <c r="S3808"/>
    </row>
    <row r="3809" spans="18:19" x14ac:dyDescent="0.25">
      <c r="R3809"/>
      <c r="S3809"/>
    </row>
    <row r="3810" spans="18:19" x14ac:dyDescent="0.25">
      <c r="R3810"/>
      <c r="S3810"/>
    </row>
    <row r="3811" spans="18:19" x14ac:dyDescent="0.25">
      <c r="R3811"/>
      <c r="S3811"/>
    </row>
    <row r="3812" spans="18:19" x14ac:dyDescent="0.25">
      <c r="R3812"/>
      <c r="S3812"/>
    </row>
    <row r="3813" spans="18:19" x14ac:dyDescent="0.25">
      <c r="R3813"/>
      <c r="S3813"/>
    </row>
    <row r="3814" spans="18:19" x14ac:dyDescent="0.25">
      <c r="R3814"/>
      <c r="S3814"/>
    </row>
    <row r="3815" spans="18:19" x14ac:dyDescent="0.25">
      <c r="R3815"/>
      <c r="S3815"/>
    </row>
    <row r="3816" spans="18:19" x14ac:dyDescent="0.25">
      <c r="R3816"/>
      <c r="S3816"/>
    </row>
    <row r="3817" spans="18:19" x14ac:dyDescent="0.25">
      <c r="R3817"/>
      <c r="S3817"/>
    </row>
    <row r="3818" spans="18:19" x14ac:dyDescent="0.25">
      <c r="R3818"/>
      <c r="S3818"/>
    </row>
    <row r="3819" spans="18:19" x14ac:dyDescent="0.25">
      <c r="R3819"/>
      <c r="S3819"/>
    </row>
    <row r="3820" spans="18:19" x14ac:dyDescent="0.25">
      <c r="R3820"/>
      <c r="S3820"/>
    </row>
    <row r="3821" spans="18:19" x14ac:dyDescent="0.25">
      <c r="R3821"/>
      <c r="S3821"/>
    </row>
    <row r="3822" spans="18:19" x14ac:dyDescent="0.25">
      <c r="R3822"/>
      <c r="S3822"/>
    </row>
    <row r="3823" spans="18:19" x14ac:dyDescent="0.25">
      <c r="R3823"/>
      <c r="S3823"/>
    </row>
    <row r="3824" spans="18:19" x14ac:dyDescent="0.25">
      <c r="R3824"/>
      <c r="S3824"/>
    </row>
    <row r="3825" spans="18:19" x14ac:dyDescent="0.25">
      <c r="R3825"/>
      <c r="S3825"/>
    </row>
    <row r="3826" spans="18:19" x14ac:dyDescent="0.25">
      <c r="R3826"/>
      <c r="S3826"/>
    </row>
    <row r="3827" spans="18:19" x14ac:dyDescent="0.25">
      <c r="R3827"/>
      <c r="S3827"/>
    </row>
    <row r="3828" spans="18:19" x14ac:dyDescent="0.25">
      <c r="R3828"/>
      <c r="S3828"/>
    </row>
    <row r="3829" spans="18:19" x14ac:dyDescent="0.25">
      <c r="R3829"/>
      <c r="S3829"/>
    </row>
    <row r="3830" spans="18:19" x14ac:dyDescent="0.25">
      <c r="R3830"/>
      <c r="S3830"/>
    </row>
    <row r="3831" spans="18:19" x14ac:dyDescent="0.25">
      <c r="R3831"/>
      <c r="S3831"/>
    </row>
    <row r="3832" spans="18:19" x14ac:dyDescent="0.25">
      <c r="R3832"/>
      <c r="S3832"/>
    </row>
    <row r="3833" spans="18:19" x14ac:dyDescent="0.25">
      <c r="R3833"/>
      <c r="S3833"/>
    </row>
    <row r="3834" spans="18:19" x14ac:dyDescent="0.25">
      <c r="R3834"/>
      <c r="S3834"/>
    </row>
    <row r="3835" spans="18:19" x14ac:dyDescent="0.25">
      <c r="R3835"/>
      <c r="S3835"/>
    </row>
    <row r="3836" spans="18:19" x14ac:dyDescent="0.25">
      <c r="R3836"/>
      <c r="S3836"/>
    </row>
    <row r="3837" spans="18:19" x14ac:dyDescent="0.25">
      <c r="R3837"/>
      <c r="S3837"/>
    </row>
    <row r="3838" spans="18:19" x14ac:dyDescent="0.25">
      <c r="R3838"/>
      <c r="S3838"/>
    </row>
    <row r="3839" spans="18:19" x14ac:dyDescent="0.25">
      <c r="R3839"/>
      <c r="S3839"/>
    </row>
    <row r="3840" spans="18:19" x14ac:dyDescent="0.25">
      <c r="R3840"/>
      <c r="S3840"/>
    </row>
    <row r="3841" spans="18:19" x14ac:dyDescent="0.25">
      <c r="R3841"/>
      <c r="S3841"/>
    </row>
    <row r="3842" spans="18:19" x14ac:dyDescent="0.25">
      <c r="R3842"/>
      <c r="S3842"/>
    </row>
    <row r="3843" spans="18:19" x14ac:dyDescent="0.25">
      <c r="R3843"/>
      <c r="S3843"/>
    </row>
    <row r="3844" spans="18:19" x14ac:dyDescent="0.25">
      <c r="R3844"/>
      <c r="S3844"/>
    </row>
    <row r="3845" spans="18:19" x14ac:dyDescent="0.25">
      <c r="R3845"/>
      <c r="S3845"/>
    </row>
    <row r="3846" spans="18:19" x14ac:dyDescent="0.25">
      <c r="R3846"/>
      <c r="S3846"/>
    </row>
    <row r="3847" spans="18:19" x14ac:dyDescent="0.25">
      <c r="R3847"/>
      <c r="S3847"/>
    </row>
    <row r="3848" spans="18:19" x14ac:dyDescent="0.25">
      <c r="R3848"/>
      <c r="S3848"/>
    </row>
    <row r="3849" spans="18:19" x14ac:dyDescent="0.25">
      <c r="R3849"/>
      <c r="S3849"/>
    </row>
    <row r="3850" spans="18:19" x14ac:dyDescent="0.25">
      <c r="R3850"/>
      <c r="S3850"/>
    </row>
    <row r="3851" spans="18:19" x14ac:dyDescent="0.25">
      <c r="R3851"/>
      <c r="S3851"/>
    </row>
    <row r="3852" spans="18:19" x14ac:dyDescent="0.25">
      <c r="R3852"/>
      <c r="S3852"/>
    </row>
    <row r="3853" spans="18:19" x14ac:dyDescent="0.25">
      <c r="R3853"/>
      <c r="S3853"/>
    </row>
    <row r="3854" spans="18:19" x14ac:dyDescent="0.25">
      <c r="R3854"/>
      <c r="S3854"/>
    </row>
    <row r="3855" spans="18:19" x14ac:dyDescent="0.25">
      <c r="R3855"/>
      <c r="S3855"/>
    </row>
    <row r="3856" spans="18:19" x14ac:dyDescent="0.25">
      <c r="R3856"/>
      <c r="S3856"/>
    </row>
    <row r="3857" spans="18:19" x14ac:dyDescent="0.25">
      <c r="R3857"/>
      <c r="S3857"/>
    </row>
    <row r="3858" spans="18:19" x14ac:dyDescent="0.25">
      <c r="R3858"/>
      <c r="S3858"/>
    </row>
    <row r="3859" spans="18:19" x14ac:dyDescent="0.25">
      <c r="R3859"/>
      <c r="S3859"/>
    </row>
    <row r="3860" spans="18:19" x14ac:dyDescent="0.25">
      <c r="R3860"/>
      <c r="S3860"/>
    </row>
    <row r="3861" spans="18:19" x14ac:dyDescent="0.25">
      <c r="R3861"/>
      <c r="S3861"/>
    </row>
    <row r="3862" spans="18:19" x14ac:dyDescent="0.25">
      <c r="R3862"/>
      <c r="S3862"/>
    </row>
    <row r="3863" spans="18:19" x14ac:dyDescent="0.25">
      <c r="R3863"/>
      <c r="S3863"/>
    </row>
    <row r="3864" spans="18:19" x14ac:dyDescent="0.25">
      <c r="R3864"/>
      <c r="S3864"/>
    </row>
    <row r="3865" spans="18:19" x14ac:dyDescent="0.25">
      <c r="R3865"/>
      <c r="S3865"/>
    </row>
    <row r="3866" spans="18:19" x14ac:dyDescent="0.25">
      <c r="R3866"/>
      <c r="S3866"/>
    </row>
    <row r="3867" spans="18:19" x14ac:dyDescent="0.25">
      <c r="R3867"/>
      <c r="S3867"/>
    </row>
    <row r="3868" spans="18:19" x14ac:dyDescent="0.25">
      <c r="R3868"/>
      <c r="S3868"/>
    </row>
    <row r="3869" spans="18:19" x14ac:dyDescent="0.25">
      <c r="R3869"/>
      <c r="S3869"/>
    </row>
    <row r="3870" spans="18:19" x14ac:dyDescent="0.25">
      <c r="R3870"/>
      <c r="S3870"/>
    </row>
    <row r="3871" spans="18:19" x14ac:dyDescent="0.25">
      <c r="R3871"/>
      <c r="S3871"/>
    </row>
    <row r="3872" spans="18:19" x14ac:dyDescent="0.25">
      <c r="R3872"/>
      <c r="S3872"/>
    </row>
    <row r="3873" spans="18:19" x14ac:dyDescent="0.25">
      <c r="R3873"/>
      <c r="S3873"/>
    </row>
    <row r="3874" spans="18:19" x14ac:dyDescent="0.25">
      <c r="R3874"/>
      <c r="S3874"/>
    </row>
    <row r="3875" spans="18:19" x14ac:dyDescent="0.25">
      <c r="R3875"/>
      <c r="S3875"/>
    </row>
    <row r="3876" spans="18:19" x14ac:dyDescent="0.25">
      <c r="R3876"/>
      <c r="S3876"/>
    </row>
    <row r="3877" spans="18:19" x14ac:dyDescent="0.25">
      <c r="R3877"/>
      <c r="S3877"/>
    </row>
    <row r="3878" spans="18:19" x14ac:dyDescent="0.25">
      <c r="R3878"/>
      <c r="S3878"/>
    </row>
    <row r="3879" spans="18:19" x14ac:dyDescent="0.25">
      <c r="R3879"/>
      <c r="S3879"/>
    </row>
    <row r="3880" spans="18:19" x14ac:dyDescent="0.25">
      <c r="R3880"/>
      <c r="S3880"/>
    </row>
    <row r="3881" spans="18:19" x14ac:dyDescent="0.25">
      <c r="R3881"/>
      <c r="S3881"/>
    </row>
    <row r="3882" spans="18:19" x14ac:dyDescent="0.25">
      <c r="R3882"/>
      <c r="S3882"/>
    </row>
    <row r="3883" spans="18:19" x14ac:dyDescent="0.25">
      <c r="R3883"/>
      <c r="S3883"/>
    </row>
    <row r="3884" spans="18:19" x14ac:dyDescent="0.25">
      <c r="R3884"/>
      <c r="S3884"/>
    </row>
    <row r="3885" spans="18:19" x14ac:dyDescent="0.25">
      <c r="R3885"/>
      <c r="S3885"/>
    </row>
    <row r="3886" spans="18:19" x14ac:dyDescent="0.25">
      <c r="R3886"/>
      <c r="S3886"/>
    </row>
    <row r="3887" spans="18:19" x14ac:dyDescent="0.25">
      <c r="R3887"/>
      <c r="S3887"/>
    </row>
    <row r="3888" spans="18:19" x14ac:dyDescent="0.25">
      <c r="R3888"/>
      <c r="S3888"/>
    </row>
    <row r="3889" spans="18:19" x14ac:dyDescent="0.25">
      <c r="R3889"/>
      <c r="S3889"/>
    </row>
    <row r="3890" spans="18:19" x14ac:dyDescent="0.25">
      <c r="R3890"/>
      <c r="S3890"/>
    </row>
    <row r="3891" spans="18:19" x14ac:dyDescent="0.25">
      <c r="R3891"/>
      <c r="S3891"/>
    </row>
    <row r="3892" spans="18:19" x14ac:dyDescent="0.25">
      <c r="R3892"/>
      <c r="S3892"/>
    </row>
    <row r="3893" spans="18:19" x14ac:dyDescent="0.25">
      <c r="R3893"/>
      <c r="S3893"/>
    </row>
    <row r="3894" spans="18:19" x14ac:dyDescent="0.25">
      <c r="R3894"/>
      <c r="S3894"/>
    </row>
    <row r="3895" spans="18:19" x14ac:dyDescent="0.25">
      <c r="R3895"/>
      <c r="S3895"/>
    </row>
    <row r="3896" spans="18:19" x14ac:dyDescent="0.25">
      <c r="R3896"/>
      <c r="S3896"/>
    </row>
    <row r="3897" spans="18:19" x14ac:dyDescent="0.25">
      <c r="R3897"/>
      <c r="S3897"/>
    </row>
    <row r="3898" spans="18:19" x14ac:dyDescent="0.25">
      <c r="R3898"/>
      <c r="S3898"/>
    </row>
    <row r="3899" spans="18:19" x14ac:dyDescent="0.25">
      <c r="R3899"/>
      <c r="S3899"/>
    </row>
    <row r="3900" spans="18:19" x14ac:dyDescent="0.25">
      <c r="R3900"/>
      <c r="S3900"/>
    </row>
    <row r="3901" spans="18:19" x14ac:dyDescent="0.25">
      <c r="R3901"/>
      <c r="S3901"/>
    </row>
    <row r="3902" spans="18:19" x14ac:dyDescent="0.25">
      <c r="R3902"/>
      <c r="S3902"/>
    </row>
    <row r="3903" spans="18:19" x14ac:dyDescent="0.25">
      <c r="R3903"/>
      <c r="S3903"/>
    </row>
    <row r="3904" spans="18:19" x14ac:dyDescent="0.25">
      <c r="R3904"/>
      <c r="S3904"/>
    </row>
    <row r="3905" spans="18:19" x14ac:dyDescent="0.25">
      <c r="R3905"/>
      <c r="S3905"/>
    </row>
    <row r="3906" spans="18:19" x14ac:dyDescent="0.25">
      <c r="R3906"/>
      <c r="S3906"/>
    </row>
    <row r="3907" spans="18:19" x14ac:dyDescent="0.25">
      <c r="R3907"/>
      <c r="S3907"/>
    </row>
    <row r="3908" spans="18:19" x14ac:dyDescent="0.25">
      <c r="R3908"/>
      <c r="S3908"/>
    </row>
    <row r="3909" spans="18:19" x14ac:dyDescent="0.25">
      <c r="R3909"/>
      <c r="S3909"/>
    </row>
    <row r="3910" spans="18:19" x14ac:dyDescent="0.25">
      <c r="R3910"/>
      <c r="S3910"/>
    </row>
    <row r="3911" spans="18:19" x14ac:dyDescent="0.25">
      <c r="R3911"/>
      <c r="S3911"/>
    </row>
    <row r="3912" spans="18:19" x14ac:dyDescent="0.25">
      <c r="R3912"/>
      <c r="S3912"/>
    </row>
    <row r="3913" spans="18:19" x14ac:dyDescent="0.25">
      <c r="R3913"/>
      <c r="S3913"/>
    </row>
    <row r="3914" spans="18:19" x14ac:dyDescent="0.25">
      <c r="R3914"/>
      <c r="S3914"/>
    </row>
    <row r="3915" spans="18:19" x14ac:dyDescent="0.25">
      <c r="R3915"/>
      <c r="S3915"/>
    </row>
    <row r="3916" spans="18:19" x14ac:dyDescent="0.25">
      <c r="R3916"/>
      <c r="S3916"/>
    </row>
    <row r="3917" spans="18:19" x14ac:dyDescent="0.25">
      <c r="R3917"/>
      <c r="S3917"/>
    </row>
    <row r="3918" spans="18:19" x14ac:dyDescent="0.25">
      <c r="R3918"/>
      <c r="S3918"/>
    </row>
    <row r="3919" spans="18:19" x14ac:dyDescent="0.25">
      <c r="R3919"/>
      <c r="S3919"/>
    </row>
    <row r="3920" spans="18:19" x14ac:dyDescent="0.25">
      <c r="R3920"/>
      <c r="S3920"/>
    </row>
    <row r="3921" spans="18:19" x14ac:dyDescent="0.25">
      <c r="R3921"/>
      <c r="S3921"/>
    </row>
    <row r="3922" spans="18:19" x14ac:dyDescent="0.25">
      <c r="R3922"/>
      <c r="S3922"/>
    </row>
    <row r="3923" spans="18:19" x14ac:dyDescent="0.25">
      <c r="R3923"/>
      <c r="S3923"/>
    </row>
    <row r="3924" spans="18:19" x14ac:dyDescent="0.25">
      <c r="R3924"/>
      <c r="S3924"/>
    </row>
    <row r="3925" spans="18:19" x14ac:dyDescent="0.25">
      <c r="R3925"/>
      <c r="S3925"/>
    </row>
    <row r="3926" spans="18:19" x14ac:dyDescent="0.25">
      <c r="R3926"/>
      <c r="S3926"/>
    </row>
    <row r="3927" spans="18:19" x14ac:dyDescent="0.25">
      <c r="R3927"/>
      <c r="S3927"/>
    </row>
    <row r="3928" spans="18:19" x14ac:dyDescent="0.25">
      <c r="R3928"/>
      <c r="S3928"/>
    </row>
    <row r="3929" spans="18:19" x14ac:dyDescent="0.25">
      <c r="R3929"/>
      <c r="S3929"/>
    </row>
    <row r="3930" spans="18:19" x14ac:dyDescent="0.25">
      <c r="R3930"/>
      <c r="S3930"/>
    </row>
    <row r="3931" spans="18:19" x14ac:dyDescent="0.25">
      <c r="R3931"/>
      <c r="S3931"/>
    </row>
    <row r="3932" spans="18:19" x14ac:dyDescent="0.25">
      <c r="R3932"/>
      <c r="S3932"/>
    </row>
    <row r="3933" spans="18:19" x14ac:dyDescent="0.25">
      <c r="R3933"/>
      <c r="S3933"/>
    </row>
    <row r="3934" spans="18:19" x14ac:dyDescent="0.25">
      <c r="R3934"/>
      <c r="S3934"/>
    </row>
    <row r="3935" spans="18:19" x14ac:dyDescent="0.25">
      <c r="R3935"/>
      <c r="S3935"/>
    </row>
    <row r="3936" spans="18:19" x14ac:dyDescent="0.25">
      <c r="R3936"/>
      <c r="S3936"/>
    </row>
    <row r="3937" spans="18:19" x14ac:dyDescent="0.25">
      <c r="R3937"/>
      <c r="S3937"/>
    </row>
    <row r="3938" spans="18:19" x14ac:dyDescent="0.25">
      <c r="R3938"/>
      <c r="S3938"/>
    </row>
    <row r="3939" spans="18:19" x14ac:dyDescent="0.25">
      <c r="R3939"/>
      <c r="S3939"/>
    </row>
    <row r="3940" spans="18:19" x14ac:dyDescent="0.25">
      <c r="R3940"/>
      <c r="S3940"/>
    </row>
    <row r="3941" spans="18:19" x14ac:dyDescent="0.25">
      <c r="R3941"/>
      <c r="S3941"/>
    </row>
    <row r="3942" spans="18:19" x14ac:dyDescent="0.25">
      <c r="R3942"/>
      <c r="S3942"/>
    </row>
    <row r="3943" spans="18:19" x14ac:dyDescent="0.25">
      <c r="R3943"/>
      <c r="S3943"/>
    </row>
    <row r="3944" spans="18:19" x14ac:dyDescent="0.25">
      <c r="R3944"/>
      <c r="S3944"/>
    </row>
    <row r="3945" spans="18:19" x14ac:dyDescent="0.25">
      <c r="R3945"/>
      <c r="S3945"/>
    </row>
    <row r="3946" spans="18:19" x14ac:dyDescent="0.25">
      <c r="R3946"/>
      <c r="S3946"/>
    </row>
    <row r="3947" spans="18:19" x14ac:dyDescent="0.25">
      <c r="R3947"/>
      <c r="S3947"/>
    </row>
    <row r="3948" spans="18:19" x14ac:dyDescent="0.25">
      <c r="R3948"/>
      <c r="S3948"/>
    </row>
    <row r="3949" spans="18:19" x14ac:dyDescent="0.25">
      <c r="R3949"/>
      <c r="S3949"/>
    </row>
    <row r="3950" spans="18:19" x14ac:dyDescent="0.25">
      <c r="R3950"/>
      <c r="S3950"/>
    </row>
    <row r="3951" spans="18:19" x14ac:dyDescent="0.25">
      <c r="R3951"/>
      <c r="S3951"/>
    </row>
    <row r="3952" spans="18:19" x14ac:dyDescent="0.25">
      <c r="R3952"/>
      <c r="S3952"/>
    </row>
    <row r="3953" spans="18:19" x14ac:dyDescent="0.25">
      <c r="R3953"/>
      <c r="S3953"/>
    </row>
    <row r="3954" spans="18:19" x14ac:dyDescent="0.25">
      <c r="R3954"/>
      <c r="S3954"/>
    </row>
    <row r="3955" spans="18:19" x14ac:dyDescent="0.25">
      <c r="R3955"/>
      <c r="S3955"/>
    </row>
    <row r="3956" spans="18:19" x14ac:dyDescent="0.25">
      <c r="R3956"/>
      <c r="S3956"/>
    </row>
    <row r="3957" spans="18:19" x14ac:dyDescent="0.25">
      <c r="R3957"/>
      <c r="S3957"/>
    </row>
    <row r="3958" spans="18:19" x14ac:dyDescent="0.25">
      <c r="R3958"/>
      <c r="S3958"/>
    </row>
    <row r="3959" spans="18:19" x14ac:dyDescent="0.25">
      <c r="R3959"/>
      <c r="S3959"/>
    </row>
    <row r="3960" spans="18:19" x14ac:dyDescent="0.25">
      <c r="R3960"/>
      <c r="S3960"/>
    </row>
    <row r="3961" spans="18:19" x14ac:dyDescent="0.25">
      <c r="R3961"/>
      <c r="S3961"/>
    </row>
    <row r="3962" spans="18:19" x14ac:dyDescent="0.25">
      <c r="R3962"/>
      <c r="S3962"/>
    </row>
    <row r="3963" spans="18:19" x14ac:dyDescent="0.25">
      <c r="R3963"/>
      <c r="S3963"/>
    </row>
    <row r="3964" spans="18:19" x14ac:dyDescent="0.25">
      <c r="R3964"/>
      <c r="S3964"/>
    </row>
    <row r="3965" spans="18:19" x14ac:dyDescent="0.25">
      <c r="R3965"/>
      <c r="S3965"/>
    </row>
    <row r="3966" spans="18:19" x14ac:dyDescent="0.25">
      <c r="R3966"/>
      <c r="S3966"/>
    </row>
    <row r="3967" spans="18:19" x14ac:dyDescent="0.25">
      <c r="R3967"/>
      <c r="S3967"/>
    </row>
    <row r="3968" spans="18:19" x14ac:dyDescent="0.25">
      <c r="R3968"/>
      <c r="S3968"/>
    </row>
    <row r="3969" spans="18:19" x14ac:dyDescent="0.25">
      <c r="R3969"/>
      <c r="S3969"/>
    </row>
    <row r="3970" spans="18:19" x14ac:dyDescent="0.25">
      <c r="R3970"/>
      <c r="S3970"/>
    </row>
    <row r="3971" spans="18:19" x14ac:dyDescent="0.25">
      <c r="R3971"/>
      <c r="S3971"/>
    </row>
    <row r="3972" spans="18:19" x14ac:dyDescent="0.25">
      <c r="R3972"/>
      <c r="S3972"/>
    </row>
    <row r="3973" spans="18:19" x14ac:dyDescent="0.25">
      <c r="R3973"/>
      <c r="S3973"/>
    </row>
    <row r="3974" spans="18:19" x14ac:dyDescent="0.25">
      <c r="R3974"/>
      <c r="S3974"/>
    </row>
    <row r="3975" spans="18:19" x14ac:dyDescent="0.25">
      <c r="R3975"/>
      <c r="S3975"/>
    </row>
    <row r="3976" spans="18:19" x14ac:dyDescent="0.25">
      <c r="R3976"/>
      <c r="S3976"/>
    </row>
    <row r="3977" spans="18:19" x14ac:dyDescent="0.25">
      <c r="R3977"/>
      <c r="S3977"/>
    </row>
    <row r="3978" spans="18:19" x14ac:dyDescent="0.25">
      <c r="R3978"/>
      <c r="S3978"/>
    </row>
    <row r="3979" spans="18:19" x14ac:dyDescent="0.25">
      <c r="R3979"/>
      <c r="S3979"/>
    </row>
    <row r="3980" spans="18:19" x14ac:dyDescent="0.25">
      <c r="R3980"/>
      <c r="S3980"/>
    </row>
    <row r="3981" spans="18:19" x14ac:dyDescent="0.25">
      <c r="R3981"/>
      <c r="S3981"/>
    </row>
    <row r="3982" spans="18:19" x14ac:dyDescent="0.25">
      <c r="R3982"/>
      <c r="S3982"/>
    </row>
    <row r="3983" spans="18:19" x14ac:dyDescent="0.25">
      <c r="R3983"/>
      <c r="S3983"/>
    </row>
    <row r="3984" spans="18:19" x14ac:dyDescent="0.25">
      <c r="R3984"/>
      <c r="S3984"/>
    </row>
    <row r="3985" spans="18:19" x14ac:dyDescent="0.25">
      <c r="R3985"/>
      <c r="S3985"/>
    </row>
    <row r="3986" spans="18:19" x14ac:dyDescent="0.25">
      <c r="R3986"/>
      <c r="S3986"/>
    </row>
    <row r="3987" spans="18:19" x14ac:dyDescent="0.25">
      <c r="R3987"/>
      <c r="S3987"/>
    </row>
    <row r="3988" spans="18:19" x14ac:dyDescent="0.25">
      <c r="R3988"/>
      <c r="S3988"/>
    </row>
    <row r="3989" spans="18:19" x14ac:dyDescent="0.25">
      <c r="R3989"/>
      <c r="S3989"/>
    </row>
    <row r="3990" spans="18:19" x14ac:dyDescent="0.25">
      <c r="R3990"/>
      <c r="S3990"/>
    </row>
    <row r="3991" spans="18:19" x14ac:dyDescent="0.25">
      <c r="R3991"/>
      <c r="S3991"/>
    </row>
    <row r="3992" spans="18:19" x14ac:dyDescent="0.25">
      <c r="R3992"/>
      <c r="S3992"/>
    </row>
    <row r="3993" spans="18:19" x14ac:dyDescent="0.25">
      <c r="R3993"/>
      <c r="S3993"/>
    </row>
    <row r="3994" spans="18:19" x14ac:dyDescent="0.25">
      <c r="R3994"/>
      <c r="S3994"/>
    </row>
    <row r="3995" spans="18:19" x14ac:dyDescent="0.25">
      <c r="R3995"/>
      <c r="S3995"/>
    </row>
    <row r="3996" spans="18:19" x14ac:dyDescent="0.25">
      <c r="R3996"/>
      <c r="S3996"/>
    </row>
    <row r="3997" spans="18:19" x14ac:dyDescent="0.25">
      <c r="R3997"/>
      <c r="S3997"/>
    </row>
    <row r="3998" spans="18:19" x14ac:dyDescent="0.25">
      <c r="R3998"/>
      <c r="S3998"/>
    </row>
    <row r="3999" spans="18:19" x14ac:dyDescent="0.25">
      <c r="R3999"/>
      <c r="S3999"/>
    </row>
    <row r="4000" spans="18:19" x14ac:dyDescent="0.25">
      <c r="R4000"/>
      <c r="S4000"/>
    </row>
    <row r="4001" spans="18:19" x14ac:dyDescent="0.25">
      <c r="R4001"/>
      <c r="S4001"/>
    </row>
    <row r="4002" spans="18:19" x14ac:dyDescent="0.25">
      <c r="R4002"/>
      <c r="S4002"/>
    </row>
    <row r="4003" spans="18:19" x14ac:dyDescent="0.25">
      <c r="R4003"/>
      <c r="S4003"/>
    </row>
    <row r="4004" spans="18:19" x14ac:dyDescent="0.25">
      <c r="R4004"/>
      <c r="S4004"/>
    </row>
    <row r="4005" spans="18:19" x14ac:dyDescent="0.25">
      <c r="R4005"/>
      <c r="S4005"/>
    </row>
    <row r="4006" spans="18:19" x14ac:dyDescent="0.25">
      <c r="R4006"/>
      <c r="S4006"/>
    </row>
    <row r="4007" spans="18:19" x14ac:dyDescent="0.25">
      <c r="R4007"/>
      <c r="S4007"/>
    </row>
    <row r="4008" spans="18:19" x14ac:dyDescent="0.25">
      <c r="R4008"/>
      <c r="S4008"/>
    </row>
    <row r="4009" spans="18:19" x14ac:dyDescent="0.25">
      <c r="R4009"/>
      <c r="S4009"/>
    </row>
    <row r="4010" spans="18:19" x14ac:dyDescent="0.25">
      <c r="R4010"/>
      <c r="S4010"/>
    </row>
    <row r="4011" spans="18:19" x14ac:dyDescent="0.25">
      <c r="R4011"/>
      <c r="S4011"/>
    </row>
    <row r="4012" spans="18:19" x14ac:dyDescent="0.25">
      <c r="R4012"/>
      <c r="S4012"/>
    </row>
    <row r="4013" spans="18:19" x14ac:dyDescent="0.25">
      <c r="R4013"/>
      <c r="S4013"/>
    </row>
    <row r="4014" spans="18:19" x14ac:dyDescent="0.25">
      <c r="R4014"/>
      <c r="S4014"/>
    </row>
    <row r="4015" spans="18:19" x14ac:dyDescent="0.25">
      <c r="R4015"/>
      <c r="S4015"/>
    </row>
    <row r="4016" spans="18:19" x14ac:dyDescent="0.25">
      <c r="R4016"/>
      <c r="S4016"/>
    </row>
    <row r="4017" spans="18:19" x14ac:dyDescent="0.25">
      <c r="R4017"/>
      <c r="S4017"/>
    </row>
    <row r="4018" spans="18:19" x14ac:dyDescent="0.25">
      <c r="R4018"/>
      <c r="S4018"/>
    </row>
    <row r="4019" spans="18:19" x14ac:dyDescent="0.25">
      <c r="R4019"/>
      <c r="S4019"/>
    </row>
    <row r="4020" spans="18:19" x14ac:dyDescent="0.25">
      <c r="R4020"/>
      <c r="S4020"/>
    </row>
    <row r="4021" spans="18:19" x14ac:dyDescent="0.25">
      <c r="R4021"/>
      <c r="S4021"/>
    </row>
    <row r="4022" spans="18:19" x14ac:dyDescent="0.25">
      <c r="R4022"/>
      <c r="S4022"/>
    </row>
    <row r="4023" spans="18:19" x14ac:dyDescent="0.25">
      <c r="R4023"/>
      <c r="S4023"/>
    </row>
    <row r="4024" spans="18:19" x14ac:dyDescent="0.25">
      <c r="R4024"/>
      <c r="S4024"/>
    </row>
    <row r="4025" spans="18:19" x14ac:dyDescent="0.25">
      <c r="R4025"/>
      <c r="S4025"/>
    </row>
    <row r="4026" spans="18:19" x14ac:dyDescent="0.25">
      <c r="R4026"/>
      <c r="S4026"/>
    </row>
    <row r="4027" spans="18:19" x14ac:dyDescent="0.25">
      <c r="R4027"/>
      <c r="S4027"/>
    </row>
    <row r="4028" spans="18:19" x14ac:dyDescent="0.25">
      <c r="R4028"/>
      <c r="S4028"/>
    </row>
    <row r="4029" spans="18:19" x14ac:dyDescent="0.25">
      <c r="R4029"/>
      <c r="S4029"/>
    </row>
    <row r="4030" spans="18:19" x14ac:dyDescent="0.25">
      <c r="R4030"/>
      <c r="S4030"/>
    </row>
    <row r="4031" spans="18:19" x14ac:dyDescent="0.25">
      <c r="R4031"/>
      <c r="S4031"/>
    </row>
    <row r="4032" spans="18:19" x14ac:dyDescent="0.25">
      <c r="R4032"/>
      <c r="S4032"/>
    </row>
    <row r="4033" spans="18:19" x14ac:dyDescent="0.25">
      <c r="R4033"/>
      <c r="S4033"/>
    </row>
    <row r="4034" spans="18:19" x14ac:dyDescent="0.25">
      <c r="R4034"/>
      <c r="S4034"/>
    </row>
    <row r="4035" spans="18:19" x14ac:dyDescent="0.25">
      <c r="R4035"/>
      <c r="S4035"/>
    </row>
    <row r="4036" spans="18:19" x14ac:dyDescent="0.25">
      <c r="R4036"/>
      <c r="S4036"/>
    </row>
    <row r="4037" spans="18:19" x14ac:dyDescent="0.25">
      <c r="R4037"/>
      <c r="S4037"/>
    </row>
    <row r="4038" spans="18:19" x14ac:dyDescent="0.25">
      <c r="R4038"/>
      <c r="S4038"/>
    </row>
    <row r="4039" spans="18:19" x14ac:dyDescent="0.25">
      <c r="R4039"/>
      <c r="S4039"/>
    </row>
    <row r="4040" spans="18:19" x14ac:dyDescent="0.25">
      <c r="R4040"/>
      <c r="S4040"/>
    </row>
    <row r="4041" spans="18:19" x14ac:dyDescent="0.25">
      <c r="R4041"/>
      <c r="S4041"/>
    </row>
    <row r="4042" spans="18:19" x14ac:dyDescent="0.25">
      <c r="R4042"/>
      <c r="S4042"/>
    </row>
    <row r="4043" spans="18:19" x14ac:dyDescent="0.25">
      <c r="R4043"/>
      <c r="S4043"/>
    </row>
    <row r="4044" spans="18:19" x14ac:dyDescent="0.25">
      <c r="R4044"/>
      <c r="S4044"/>
    </row>
    <row r="4045" spans="18:19" x14ac:dyDescent="0.25">
      <c r="R4045"/>
      <c r="S4045"/>
    </row>
    <row r="4046" spans="18:19" x14ac:dyDescent="0.25">
      <c r="R4046"/>
      <c r="S4046"/>
    </row>
    <row r="4047" spans="18:19" x14ac:dyDescent="0.25">
      <c r="R4047"/>
      <c r="S4047"/>
    </row>
    <row r="4048" spans="18:19" x14ac:dyDescent="0.25">
      <c r="R4048"/>
      <c r="S4048"/>
    </row>
    <row r="4049" spans="18:19" x14ac:dyDescent="0.25">
      <c r="R4049"/>
      <c r="S4049"/>
    </row>
    <row r="4050" spans="18:19" x14ac:dyDescent="0.25">
      <c r="R4050"/>
      <c r="S4050"/>
    </row>
    <row r="4051" spans="18:19" x14ac:dyDescent="0.25">
      <c r="R4051"/>
      <c r="S4051"/>
    </row>
    <row r="4052" spans="18:19" x14ac:dyDescent="0.25">
      <c r="R4052"/>
      <c r="S4052"/>
    </row>
    <row r="4053" spans="18:19" x14ac:dyDescent="0.25">
      <c r="R4053"/>
      <c r="S4053"/>
    </row>
    <row r="4054" spans="18:19" x14ac:dyDescent="0.25">
      <c r="R4054"/>
      <c r="S4054"/>
    </row>
    <row r="4055" spans="18:19" x14ac:dyDescent="0.25">
      <c r="R4055"/>
      <c r="S4055"/>
    </row>
    <row r="4056" spans="18:19" x14ac:dyDescent="0.25">
      <c r="R4056"/>
      <c r="S4056"/>
    </row>
    <row r="4057" spans="18:19" x14ac:dyDescent="0.25">
      <c r="R4057"/>
      <c r="S4057"/>
    </row>
    <row r="4058" spans="18:19" x14ac:dyDescent="0.25">
      <c r="R4058"/>
      <c r="S4058"/>
    </row>
    <row r="4059" spans="18:19" x14ac:dyDescent="0.25">
      <c r="R4059"/>
      <c r="S4059"/>
    </row>
    <row r="4060" spans="18:19" x14ac:dyDescent="0.25">
      <c r="R4060"/>
      <c r="S4060"/>
    </row>
    <row r="4061" spans="18:19" x14ac:dyDescent="0.25">
      <c r="R4061"/>
      <c r="S4061"/>
    </row>
    <row r="4062" spans="18:19" x14ac:dyDescent="0.25">
      <c r="R4062"/>
      <c r="S4062"/>
    </row>
    <row r="4063" spans="18:19" x14ac:dyDescent="0.25">
      <c r="R4063"/>
      <c r="S4063"/>
    </row>
    <row r="4064" spans="18:19" x14ac:dyDescent="0.25">
      <c r="R4064"/>
      <c r="S4064"/>
    </row>
    <row r="4065" spans="18:19" x14ac:dyDescent="0.25">
      <c r="R4065"/>
      <c r="S4065"/>
    </row>
    <row r="4066" spans="18:19" x14ac:dyDescent="0.25">
      <c r="R4066"/>
      <c r="S4066"/>
    </row>
    <row r="4067" spans="18:19" x14ac:dyDescent="0.25">
      <c r="R4067"/>
      <c r="S4067"/>
    </row>
    <row r="4068" spans="18:19" x14ac:dyDescent="0.25">
      <c r="R4068"/>
      <c r="S4068"/>
    </row>
    <row r="4069" spans="18:19" x14ac:dyDescent="0.25">
      <c r="R4069"/>
      <c r="S4069"/>
    </row>
    <row r="4070" spans="18:19" x14ac:dyDescent="0.25">
      <c r="R4070"/>
      <c r="S4070"/>
    </row>
    <row r="4071" spans="18:19" x14ac:dyDescent="0.25">
      <c r="R4071"/>
      <c r="S4071"/>
    </row>
    <row r="4072" spans="18:19" x14ac:dyDescent="0.25">
      <c r="R4072"/>
      <c r="S4072"/>
    </row>
    <row r="4073" spans="18:19" x14ac:dyDescent="0.25">
      <c r="R4073"/>
      <c r="S4073"/>
    </row>
    <row r="4074" spans="18:19" x14ac:dyDescent="0.25">
      <c r="R4074"/>
      <c r="S4074"/>
    </row>
    <row r="4075" spans="18:19" x14ac:dyDescent="0.25">
      <c r="R4075"/>
      <c r="S4075"/>
    </row>
    <row r="4076" spans="18:19" x14ac:dyDescent="0.25">
      <c r="R4076"/>
      <c r="S4076"/>
    </row>
    <row r="4077" spans="18:19" x14ac:dyDescent="0.25">
      <c r="R4077"/>
      <c r="S4077"/>
    </row>
    <row r="4078" spans="18:19" x14ac:dyDescent="0.25">
      <c r="R4078"/>
      <c r="S4078"/>
    </row>
    <row r="4079" spans="18:19" x14ac:dyDescent="0.25">
      <c r="R4079"/>
      <c r="S4079"/>
    </row>
    <row r="4080" spans="18:19" x14ac:dyDescent="0.25">
      <c r="R4080"/>
      <c r="S4080"/>
    </row>
    <row r="4081" spans="18:19" x14ac:dyDescent="0.25">
      <c r="R4081"/>
      <c r="S4081"/>
    </row>
    <row r="4082" spans="18:19" x14ac:dyDescent="0.25">
      <c r="R4082"/>
      <c r="S4082"/>
    </row>
    <row r="4083" spans="18:19" x14ac:dyDescent="0.25">
      <c r="R4083"/>
      <c r="S4083"/>
    </row>
    <row r="4084" spans="18:19" x14ac:dyDescent="0.25">
      <c r="R4084"/>
      <c r="S4084"/>
    </row>
    <row r="4085" spans="18:19" x14ac:dyDescent="0.25">
      <c r="R4085"/>
      <c r="S4085"/>
    </row>
    <row r="4086" spans="18:19" x14ac:dyDescent="0.25">
      <c r="R4086"/>
      <c r="S4086"/>
    </row>
    <row r="4087" spans="18:19" x14ac:dyDescent="0.25">
      <c r="R4087"/>
      <c r="S4087"/>
    </row>
    <row r="4088" spans="18:19" x14ac:dyDescent="0.25">
      <c r="R4088"/>
      <c r="S4088"/>
    </row>
    <row r="4089" spans="18:19" x14ac:dyDescent="0.25">
      <c r="R4089"/>
      <c r="S4089"/>
    </row>
    <row r="4090" spans="18:19" x14ac:dyDescent="0.25">
      <c r="R4090"/>
      <c r="S4090"/>
    </row>
    <row r="4091" spans="18:19" x14ac:dyDescent="0.25">
      <c r="R4091"/>
      <c r="S4091"/>
    </row>
    <row r="4092" spans="18:19" x14ac:dyDescent="0.25">
      <c r="R4092"/>
      <c r="S4092"/>
    </row>
    <row r="4093" spans="18:19" x14ac:dyDescent="0.25">
      <c r="R4093"/>
      <c r="S4093"/>
    </row>
    <row r="4094" spans="18:19" x14ac:dyDescent="0.25">
      <c r="R4094"/>
      <c r="S4094"/>
    </row>
    <row r="4095" spans="18:19" x14ac:dyDescent="0.25">
      <c r="R4095"/>
      <c r="S4095"/>
    </row>
    <row r="4096" spans="18:19" x14ac:dyDescent="0.25">
      <c r="R4096"/>
      <c r="S4096"/>
    </row>
    <row r="4097" spans="18:19" x14ac:dyDescent="0.25">
      <c r="R4097"/>
      <c r="S4097"/>
    </row>
    <row r="4098" spans="18:19" x14ac:dyDescent="0.25">
      <c r="R4098"/>
      <c r="S4098"/>
    </row>
    <row r="4099" spans="18:19" x14ac:dyDescent="0.25">
      <c r="R4099"/>
      <c r="S4099"/>
    </row>
    <row r="4100" spans="18:19" x14ac:dyDescent="0.25">
      <c r="R4100"/>
      <c r="S4100"/>
    </row>
    <row r="4101" spans="18:19" x14ac:dyDescent="0.25">
      <c r="R4101"/>
      <c r="S4101"/>
    </row>
    <row r="4102" spans="18:19" x14ac:dyDescent="0.25">
      <c r="R4102"/>
      <c r="S4102"/>
    </row>
    <row r="4103" spans="18:19" x14ac:dyDescent="0.25">
      <c r="R4103"/>
      <c r="S4103"/>
    </row>
    <row r="4104" spans="18:19" x14ac:dyDescent="0.25">
      <c r="R4104"/>
      <c r="S4104"/>
    </row>
    <row r="4105" spans="18:19" x14ac:dyDescent="0.25">
      <c r="R4105"/>
      <c r="S4105"/>
    </row>
    <row r="4106" spans="18:19" x14ac:dyDescent="0.25">
      <c r="R4106"/>
      <c r="S4106"/>
    </row>
    <row r="4107" spans="18:19" x14ac:dyDescent="0.25">
      <c r="R4107"/>
      <c r="S4107"/>
    </row>
    <row r="4108" spans="18:19" x14ac:dyDescent="0.25">
      <c r="R4108"/>
      <c r="S4108"/>
    </row>
    <row r="4109" spans="18:19" x14ac:dyDescent="0.25">
      <c r="R4109"/>
      <c r="S4109"/>
    </row>
    <row r="4110" spans="18:19" x14ac:dyDescent="0.25">
      <c r="R4110"/>
      <c r="S4110"/>
    </row>
    <row r="4111" spans="18:19" x14ac:dyDescent="0.25">
      <c r="R4111"/>
      <c r="S4111"/>
    </row>
    <row r="4112" spans="18:19" x14ac:dyDescent="0.25">
      <c r="R4112"/>
      <c r="S4112"/>
    </row>
    <row r="4113" spans="18:19" x14ac:dyDescent="0.25">
      <c r="R4113"/>
      <c r="S4113"/>
    </row>
    <row r="4114" spans="18:19" x14ac:dyDescent="0.25">
      <c r="R4114"/>
      <c r="S4114"/>
    </row>
    <row r="4115" spans="18:19" x14ac:dyDescent="0.25">
      <c r="R4115"/>
      <c r="S4115"/>
    </row>
    <row r="4116" spans="18:19" x14ac:dyDescent="0.25">
      <c r="R4116"/>
      <c r="S4116"/>
    </row>
    <row r="4117" spans="18:19" x14ac:dyDescent="0.25">
      <c r="R4117"/>
      <c r="S4117"/>
    </row>
    <row r="4118" spans="18:19" x14ac:dyDescent="0.25">
      <c r="R4118"/>
      <c r="S4118"/>
    </row>
    <row r="4119" spans="18:19" x14ac:dyDescent="0.25">
      <c r="R4119"/>
      <c r="S4119"/>
    </row>
    <row r="4120" spans="18:19" x14ac:dyDescent="0.25">
      <c r="R4120"/>
      <c r="S4120"/>
    </row>
    <row r="4121" spans="18:19" x14ac:dyDescent="0.25">
      <c r="R4121"/>
      <c r="S4121"/>
    </row>
    <row r="4122" spans="18:19" x14ac:dyDescent="0.25">
      <c r="R4122"/>
      <c r="S4122"/>
    </row>
    <row r="4123" spans="18:19" x14ac:dyDescent="0.25">
      <c r="R4123"/>
      <c r="S4123"/>
    </row>
    <row r="4124" spans="18:19" x14ac:dyDescent="0.25">
      <c r="R4124"/>
      <c r="S4124"/>
    </row>
    <row r="4125" spans="18:19" x14ac:dyDescent="0.25">
      <c r="R4125"/>
      <c r="S4125"/>
    </row>
    <row r="4126" spans="18:19" x14ac:dyDescent="0.25">
      <c r="R4126"/>
      <c r="S4126"/>
    </row>
    <row r="4127" spans="18:19" x14ac:dyDescent="0.25">
      <c r="R4127"/>
      <c r="S4127"/>
    </row>
    <row r="4128" spans="18:19" x14ac:dyDescent="0.25">
      <c r="R4128"/>
      <c r="S4128"/>
    </row>
    <row r="4129" spans="18:19" x14ac:dyDescent="0.25">
      <c r="R4129"/>
      <c r="S4129"/>
    </row>
    <row r="4130" spans="18:19" x14ac:dyDescent="0.25">
      <c r="R4130"/>
      <c r="S4130"/>
    </row>
    <row r="4131" spans="18:19" x14ac:dyDescent="0.25">
      <c r="R4131"/>
      <c r="S4131"/>
    </row>
    <row r="4132" spans="18:19" x14ac:dyDescent="0.25">
      <c r="R4132"/>
      <c r="S4132"/>
    </row>
    <row r="4133" spans="18:19" x14ac:dyDescent="0.25">
      <c r="R4133"/>
      <c r="S4133"/>
    </row>
    <row r="4134" spans="18:19" x14ac:dyDescent="0.25">
      <c r="R4134"/>
      <c r="S4134"/>
    </row>
    <row r="4135" spans="18:19" x14ac:dyDescent="0.25">
      <c r="R4135"/>
      <c r="S4135"/>
    </row>
    <row r="4136" spans="18:19" x14ac:dyDescent="0.25">
      <c r="R4136"/>
      <c r="S4136"/>
    </row>
    <row r="4137" spans="18:19" x14ac:dyDescent="0.25">
      <c r="R4137"/>
      <c r="S4137"/>
    </row>
    <row r="4138" spans="18:19" x14ac:dyDescent="0.25">
      <c r="R4138"/>
      <c r="S4138"/>
    </row>
    <row r="4139" spans="18:19" x14ac:dyDescent="0.25">
      <c r="R4139"/>
      <c r="S4139"/>
    </row>
    <row r="4140" spans="18:19" x14ac:dyDescent="0.25">
      <c r="R4140"/>
      <c r="S4140"/>
    </row>
    <row r="4141" spans="18:19" x14ac:dyDescent="0.25">
      <c r="R4141"/>
      <c r="S4141"/>
    </row>
    <row r="4142" spans="18:19" x14ac:dyDescent="0.25">
      <c r="R4142"/>
      <c r="S4142"/>
    </row>
    <row r="4143" spans="18:19" x14ac:dyDescent="0.25">
      <c r="R4143"/>
      <c r="S4143"/>
    </row>
    <row r="4144" spans="18:19" x14ac:dyDescent="0.25">
      <c r="R4144"/>
      <c r="S4144"/>
    </row>
    <row r="4145" spans="18:19" x14ac:dyDescent="0.25">
      <c r="R4145"/>
      <c r="S4145"/>
    </row>
    <row r="4146" spans="18:19" x14ac:dyDescent="0.25">
      <c r="R4146"/>
      <c r="S4146"/>
    </row>
    <row r="4147" spans="18:19" x14ac:dyDescent="0.25">
      <c r="R4147"/>
      <c r="S4147"/>
    </row>
    <row r="4148" spans="18:19" x14ac:dyDescent="0.25">
      <c r="R4148"/>
      <c r="S4148"/>
    </row>
    <row r="4149" spans="18:19" x14ac:dyDescent="0.25">
      <c r="R4149"/>
      <c r="S4149"/>
    </row>
    <row r="4150" spans="18:19" x14ac:dyDescent="0.25">
      <c r="R4150"/>
      <c r="S4150"/>
    </row>
    <row r="4151" spans="18:19" x14ac:dyDescent="0.25">
      <c r="R4151"/>
      <c r="S4151"/>
    </row>
    <row r="4152" spans="18:19" x14ac:dyDescent="0.25">
      <c r="R4152"/>
      <c r="S4152"/>
    </row>
    <row r="4153" spans="18:19" x14ac:dyDescent="0.25">
      <c r="R4153"/>
      <c r="S4153"/>
    </row>
    <row r="4154" spans="18:19" x14ac:dyDescent="0.25">
      <c r="R4154"/>
      <c r="S4154"/>
    </row>
    <row r="4155" spans="18:19" x14ac:dyDescent="0.25">
      <c r="R4155"/>
      <c r="S4155"/>
    </row>
    <row r="4156" spans="18:19" x14ac:dyDescent="0.25">
      <c r="R4156"/>
      <c r="S4156"/>
    </row>
    <row r="4157" spans="18:19" x14ac:dyDescent="0.25">
      <c r="R4157"/>
      <c r="S4157"/>
    </row>
    <row r="4158" spans="18:19" x14ac:dyDescent="0.25">
      <c r="R4158"/>
      <c r="S4158"/>
    </row>
    <row r="4159" spans="18:19" x14ac:dyDescent="0.25">
      <c r="R4159"/>
      <c r="S4159"/>
    </row>
    <row r="4160" spans="18:19" x14ac:dyDescent="0.25">
      <c r="R4160"/>
      <c r="S4160"/>
    </row>
    <row r="4161" spans="18:19" x14ac:dyDescent="0.25">
      <c r="R4161"/>
      <c r="S4161"/>
    </row>
    <row r="4162" spans="18:19" x14ac:dyDescent="0.25">
      <c r="R4162"/>
      <c r="S4162"/>
    </row>
    <row r="4163" spans="18:19" x14ac:dyDescent="0.25">
      <c r="R4163"/>
      <c r="S4163"/>
    </row>
    <row r="4164" spans="18:19" x14ac:dyDescent="0.25">
      <c r="R4164"/>
      <c r="S4164"/>
    </row>
    <row r="4165" spans="18:19" x14ac:dyDescent="0.25">
      <c r="R4165"/>
      <c r="S4165"/>
    </row>
    <row r="4166" spans="18:19" x14ac:dyDescent="0.25">
      <c r="R4166"/>
      <c r="S4166"/>
    </row>
    <row r="4167" spans="18:19" x14ac:dyDescent="0.25">
      <c r="R4167"/>
      <c r="S4167"/>
    </row>
    <row r="4168" spans="18:19" x14ac:dyDescent="0.25">
      <c r="R4168"/>
      <c r="S4168"/>
    </row>
    <row r="4169" spans="18:19" x14ac:dyDescent="0.25">
      <c r="R4169"/>
      <c r="S4169"/>
    </row>
    <row r="4170" spans="18:19" x14ac:dyDescent="0.25">
      <c r="R4170"/>
      <c r="S4170"/>
    </row>
    <row r="4171" spans="18:19" x14ac:dyDescent="0.25">
      <c r="R4171"/>
      <c r="S4171"/>
    </row>
    <row r="4172" spans="18:19" x14ac:dyDescent="0.25">
      <c r="R4172"/>
      <c r="S4172"/>
    </row>
    <row r="4173" spans="18:19" x14ac:dyDescent="0.25">
      <c r="R4173"/>
      <c r="S4173"/>
    </row>
    <row r="4174" spans="18:19" x14ac:dyDescent="0.25">
      <c r="R4174"/>
      <c r="S4174"/>
    </row>
    <row r="4175" spans="18:19" x14ac:dyDescent="0.25">
      <c r="R4175"/>
      <c r="S4175"/>
    </row>
    <row r="4176" spans="18:19" x14ac:dyDescent="0.25">
      <c r="R4176"/>
      <c r="S4176"/>
    </row>
    <row r="4177" spans="18:19" x14ac:dyDescent="0.25">
      <c r="R4177"/>
      <c r="S4177"/>
    </row>
    <row r="4178" spans="18:19" x14ac:dyDescent="0.25">
      <c r="R4178"/>
      <c r="S4178"/>
    </row>
    <row r="4179" spans="18:19" x14ac:dyDescent="0.25">
      <c r="R4179"/>
      <c r="S4179"/>
    </row>
    <row r="4180" spans="18:19" x14ac:dyDescent="0.25">
      <c r="R4180"/>
      <c r="S4180"/>
    </row>
    <row r="4181" spans="18:19" x14ac:dyDescent="0.25">
      <c r="R4181"/>
      <c r="S4181"/>
    </row>
    <row r="4182" spans="18:19" x14ac:dyDescent="0.25">
      <c r="R4182"/>
      <c r="S4182"/>
    </row>
    <row r="4183" spans="18:19" x14ac:dyDescent="0.25">
      <c r="R4183"/>
      <c r="S4183"/>
    </row>
    <row r="4184" spans="18:19" x14ac:dyDescent="0.25">
      <c r="R4184"/>
      <c r="S4184"/>
    </row>
    <row r="4185" spans="18:19" x14ac:dyDescent="0.25">
      <c r="R4185"/>
      <c r="S4185"/>
    </row>
    <row r="4186" spans="18:19" x14ac:dyDescent="0.25">
      <c r="R4186"/>
      <c r="S4186"/>
    </row>
    <row r="4187" spans="18:19" x14ac:dyDescent="0.25">
      <c r="R4187"/>
      <c r="S4187"/>
    </row>
    <row r="4188" spans="18:19" x14ac:dyDescent="0.25">
      <c r="R4188"/>
      <c r="S4188"/>
    </row>
    <row r="4189" spans="18:19" x14ac:dyDescent="0.25">
      <c r="R4189"/>
      <c r="S4189"/>
    </row>
    <row r="4190" spans="18:19" x14ac:dyDescent="0.25">
      <c r="R4190"/>
      <c r="S4190"/>
    </row>
    <row r="4191" spans="18:19" x14ac:dyDescent="0.25">
      <c r="R4191"/>
      <c r="S4191"/>
    </row>
    <row r="4192" spans="18:19" x14ac:dyDescent="0.25">
      <c r="R4192"/>
      <c r="S4192"/>
    </row>
    <row r="4193" spans="18:19" x14ac:dyDescent="0.25">
      <c r="R4193"/>
      <c r="S4193"/>
    </row>
    <row r="4194" spans="18:19" x14ac:dyDescent="0.25">
      <c r="R4194"/>
      <c r="S4194"/>
    </row>
    <row r="4195" spans="18:19" x14ac:dyDescent="0.25">
      <c r="R4195"/>
      <c r="S4195"/>
    </row>
    <row r="4196" spans="18:19" x14ac:dyDescent="0.25">
      <c r="R4196"/>
      <c r="S4196"/>
    </row>
    <row r="4197" spans="18:19" x14ac:dyDescent="0.25">
      <c r="R4197"/>
      <c r="S4197"/>
    </row>
    <row r="4198" spans="18:19" x14ac:dyDescent="0.25">
      <c r="R4198"/>
      <c r="S4198"/>
    </row>
    <row r="4199" spans="18:19" x14ac:dyDescent="0.25">
      <c r="R4199"/>
      <c r="S4199"/>
    </row>
    <row r="4200" spans="18:19" x14ac:dyDescent="0.25">
      <c r="R4200"/>
      <c r="S4200"/>
    </row>
    <row r="4201" spans="18:19" x14ac:dyDescent="0.25">
      <c r="R4201"/>
      <c r="S4201"/>
    </row>
    <row r="4202" spans="18:19" x14ac:dyDescent="0.25">
      <c r="R4202"/>
      <c r="S4202"/>
    </row>
    <row r="4203" spans="18:19" x14ac:dyDescent="0.25">
      <c r="R4203"/>
      <c r="S4203"/>
    </row>
    <row r="4204" spans="18:19" x14ac:dyDescent="0.25">
      <c r="R4204"/>
      <c r="S4204"/>
    </row>
    <row r="4205" spans="18:19" x14ac:dyDescent="0.25">
      <c r="R4205"/>
      <c r="S4205"/>
    </row>
    <row r="4206" spans="18:19" x14ac:dyDescent="0.25">
      <c r="R4206"/>
      <c r="S4206"/>
    </row>
    <row r="4207" spans="18:19" x14ac:dyDescent="0.25">
      <c r="R4207"/>
      <c r="S4207"/>
    </row>
    <row r="4208" spans="18:19" x14ac:dyDescent="0.25">
      <c r="R4208"/>
      <c r="S4208"/>
    </row>
    <row r="4209" spans="18:19" x14ac:dyDescent="0.25">
      <c r="R4209"/>
      <c r="S4209"/>
    </row>
    <row r="4210" spans="18:19" x14ac:dyDescent="0.25">
      <c r="R4210"/>
      <c r="S4210"/>
    </row>
    <row r="4211" spans="18:19" x14ac:dyDescent="0.25">
      <c r="R4211"/>
      <c r="S4211"/>
    </row>
    <row r="4212" spans="18:19" x14ac:dyDescent="0.25">
      <c r="R4212"/>
      <c r="S4212"/>
    </row>
    <row r="4213" spans="18:19" x14ac:dyDescent="0.25">
      <c r="R4213"/>
      <c r="S4213"/>
    </row>
    <row r="4214" spans="18:19" x14ac:dyDescent="0.25">
      <c r="R4214"/>
      <c r="S4214"/>
    </row>
    <row r="4215" spans="18:19" x14ac:dyDescent="0.25">
      <c r="R4215"/>
      <c r="S4215"/>
    </row>
    <row r="4216" spans="18:19" x14ac:dyDescent="0.25">
      <c r="R4216"/>
      <c r="S4216"/>
    </row>
    <row r="4217" spans="18:19" x14ac:dyDescent="0.25">
      <c r="R4217"/>
      <c r="S4217"/>
    </row>
    <row r="4218" spans="18:19" x14ac:dyDescent="0.25">
      <c r="R4218"/>
      <c r="S4218"/>
    </row>
    <row r="4219" spans="18:19" x14ac:dyDescent="0.25">
      <c r="R4219"/>
      <c r="S4219"/>
    </row>
    <row r="4220" spans="18:19" x14ac:dyDescent="0.25">
      <c r="R4220"/>
      <c r="S4220"/>
    </row>
    <row r="4221" spans="18:19" x14ac:dyDescent="0.25">
      <c r="R4221"/>
      <c r="S4221"/>
    </row>
    <row r="4222" spans="18:19" x14ac:dyDescent="0.25">
      <c r="R4222"/>
      <c r="S4222"/>
    </row>
    <row r="4223" spans="18:19" x14ac:dyDescent="0.25">
      <c r="R4223"/>
      <c r="S4223"/>
    </row>
    <row r="4224" spans="18:19" x14ac:dyDescent="0.25">
      <c r="R4224"/>
      <c r="S4224"/>
    </row>
    <row r="4225" spans="18:19" x14ac:dyDescent="0.25">
      <c r="R4225"/>
      <c r="S4225"/>
    </row>
    <row r="4226" spans="18:19" x14ac:dyDescent="0.25">
      <c r="R4226"/>
      <c r="S4226"/>
    </row>
    <row r="4227" spans="18:19" x14ac:dyDescent="0.25">
      <c r="R4227"/>
      <c r="S4227"/>
    </row>
    <row r="4228" spans="18:19" x14ac:dyDescent="0.25">
      <c r="R4228"/>
      <c r="S4228"/>
    </row>
    <row r="4229" spans="18:19" x14ac:dyDescent="0.25">
      <c r="R4229"/>
      <c r="S4229"/>
    </row>
    <row r="4230" spans="18:19" x14ac:dyDescent="0.25">
      <c r="R4230"/>
      <c r="S4230"/>
    </row>
    <row r="4231" spans="18:19" x14ac:dyDescent="0.25">
      <c r="R4231"/>
      <c r="S4231"/>
    </row>
    <row r="4232" spans="18:19" x14ac:dyDescent="0.25">
      <c r="R4232"/>
      <c r="S4232"/>
    </row>
    <row r="4233" spans="18:19" x14ac:dyDescent="0.25">
      <c r="R4233"/>
      <c r="S4233"/>
    </row>
    <row r="4234" spans="18:19" x14ac:dyDescent="0.25">
      <c r="R4234"/>
      <c r="S4234"/>
    </row>
    <row r="4235" spans="18:19" x14ac:dyDescent="0.25">
      <c r="R4235"/>
      <c r="S4235"/>
    </row>
    <row r="4236" spans="18:19" x14ac:dyDescent="0.25">
      <c r="R4236"/>
      <c r="S4236"/>
    </row>
    <row r="4237" spans="18:19" x14ac:dyDescent="0.25">
      <c r="R4237"/>
      <c r="S4237"/>
    </row>
    <row r="4238" spans="18:19" x14ac:dyDescent="0.25">
      <c r="R4238"/>
      <c r="S4238"/>
    </row>
    <row r="4239" spans="18:19" x14ac:dyDescent="0.25">
      <c r="R4239"/>
      <c r="S4239"/>
    </row>
    <row r="4240" spans="18:19" x14ac:dyDescent="0.25">
      <c r="R4240"/>
      <c r="S4240"/>
    </row>
    <row r="4241" spans="18:19" x14ac:dyDescent="0.25">
      <c r="R4241"/>
      <c r="S4241"/>
    </row>
    <row r="4242" spans="18:19" x14ac:dyDescent="0.25">
      <c r="R4242"/>
      <c r="S4242"/>
    </row>
    <row r="4243" spans="18:19" x14ac:dyDescent="0.25">
      <c r="R4243"/>
      <c r="S4243"/>
    </row>
    <row r="4244" spans="18:19" x14ac:dyDescent="0.25">
      <c r="R4244"/>
      <c r="S4244"/>
    </row>
    <row r="4245" spans="18:19" x14ac:dyDescent="0.25">
      <c r="R4245"/>
      <c r="S4245"/>
    </row>
    <row r="4246" spans="18:19" x14ac:dyDescent="0.25">
      <c r="R4246"/>
      <c r="S4246"/>
    </row>
    <row r="4247" spans="18:19" x14ac:dyDescent="0.25">
      <c r="R4247"/>
      <c r="S4247"/>
    </row>
    <row r="4248" spans="18:19" x14ac:dyDescent="0.25">
      <c r="R4248"/>
      <c r="S4248"/>
    </row>
    <row r="4249" spans="18:19" x14ac:dyDescent="0.25">
      <c r="R4249"/>
      <c r="S4249"/>
    </row>
    <row r="4250" spans="18:19" x14ac:dyDescent="0.25">
      <c r="R4250"/>
      <c r="S4250"/>
    </row>
    <row r="4251" spans="18:19" x14ac:dyDescent="0.25">
      <c r="R4251"/>
      <c r="S4251"/>
    </row>
    <row r="4252" spans="18:19" x14ac:dyDescent="0.25">
      <c r="R4252"/>
      <c r="S4252"/>
    </row>
    <row r="4253" spans="18:19" x14ac:dyDescent="0.25">
      <c r="R4253"/>
      <c r="S4253"/>
    </row>
    <row r="4254" spans="18:19" x14ac:dyDescent="0.25">
      <c r="R4254"/>
      <c r="S4254"/>
    </row>
    <row r="4255" spans="18:19" x14ac:dyDescent="0.25">
      <c r="R4255"/>
      <c r="S4255"/>
    </row>
    <row r="4256" spans="18:19" x14ac:dyDescent="0.25">
      <c r="R4256"/>
      <c r="S4256"/>
    </row>
    <row r="4257" spans="18:19" x14ac:dyDescent="0.25">
      <c r="R4257"/>
      <c r="S4257"/>
    </row>
    <row r="4258" spans="18:19" x14ac:dyDescent="0.25">
      <c r="R4258"/>
      <c r="S4258"/>
    </row>
    <row r="4259" spans="18:19" x14ac:dyDescent="0.25">
      <c r="R4259"/>
      <c r="S4259"/>
    </row>
    <row r="4260" spans="18:19" x14ac:dyDescent="0.25">
      <c r="R4260"/>
      <c r="S4260"/>
    </row>
    <row r="4261" spans="18:19" x14ac:dyDescent="0.25">
      <c r="R4261"/>
      <c r="S4261"/>
    </row>
    <row r="4262" spans="18:19" x14ac:dyDescent="0.25">
      <c r="R4262"/>
      <c r="S4262"/>
    </row>
    <row r="4263" spans="18:19" x14ac:dyDescent="0.25">
      <c r="R4263"/>
      <c r="S4263"/>
    </row>
    <row r="4264" spans="18:19" x14ac:dyDescent="0.25">
      <c r="R4264"/>
      <c r="S4264"/>
    </row>
    <row r="4265" spans="18:19" x14ac:dyDescent="0.25">
      <c r="R4265"/>
      <c r="S4265"/>
    </row>
    <row r="4266" spans="18:19" x14ac:dyDescent="0.25">
      <c r="R4266"/>
      <c r="S4266"/>
    </row>
    <row r="4267" spans="18:19" x14ac:dyDescent="0.25">
      <c r="R4267"/>
      <c r="S4267"/>
    </row>
    <row r="4268" spans="18:19" x14ac:dyDescent="0.25">
      <c r="R4268"/>
      <c r="S4268"/>
    </row>
    <row r="4269" spans="18:19" x14ac:dyDescent="0.25">
      <c r="R4269"/>
      <c r="S4269"/>
    </row>
    <row r="4270" spans="18:19" x14ac:dyDescent="0.25">
      <c r="R4270"/>
      <c r="S4270"/>
    </row>
    <row r="4271" spans="18:19" x14ac:dyDescent="0.25">
      <c r="R4271"/>
      <c r="S4271"/>
    </row>
    <row r="4272" spans="18:19" x14ac:dyDescent="0.25">
      <c r="R4272"/>
      <c r="S4272"/>
    </row>
    <row r="4273" spans="18:19" x14ac:dyDescent="0.25">
      <c r="R4273"/>
      <c r="S4273"/>
    </row>
    <row r="4274" spans="18:19" x14ac:dyDescent="0.25">
      <c r="R4274"/>
      <c r="S4274"/>
    </row>
    <row r="4275" spans="18:19" x14ac:dyDescent="0.25">
      <c r="R4275"/>
      <c r="S4275"/>
    </row>
    <row r="4276" spans="18:19" x14ac:dyDescent="0.25">
      <c r="R4276"/>
      <c r="S4276"/>
    </row>
    <row r="4277" spans="18:19" x14ac:dyDescent="0.25">
      <c r="R4277"/>
      <c r="S4277"/>
    </row>
    <row r="4278" spans="18:19" x14ac:dyDescent="0.25">
      <c r="R4278"/>
      <c r="S4278"/>
    </row>
    <row r="4279" spans="18:19" x14ac:dyDescent="0.25">
      <c r="R4279"/>
      <c r="S4279"/>
    </row>
    <row r="4280" spans="18:19" x14ac:dyDescent="0.25">
      <c r="R4280"/>
      <c r="S4280"/>
    </row>
    <row r="4281" spans="18:19" x14ac:dyDescent="0.25">
      <c r="R4281"/>
      <c r="S4281"/>
    </row>
    <row r="4282" spans="18:19" x14ac:dyDescent="0.25">
      <c r="R4282"/>
      <c r="S4282"/>
    </row>
    <row r="4283" spans="18:19" x14ac:dyDescent="0.25">
      <c r="R4283"/>
      <c r="S4283"/>
    </row>
    <row r="4284" spans="18:19" x14ac:dyDescent="0.25">
      <c r="R4284"/>
      <c r="S4284"/>
    </row>
    <row r="4285" spans="18:19" x14ac:dyDescent="0.25">
      <c r="R4285"/>
      <c r="S4285"/>
    </row>
    <row r="4286" spans="18:19" x14ac:dyDescent="0.25">
      <c r="R4286"/>
      <c r="S4286"/>
    </row>
    <row r="4287" spans="18:19" x14ac:dyDescent="0.25">
      <c r="R4287"/>
      <c r="S4287"/>
    </row>
    <row r="4288" spans="18:19" x14ac:dyDescent="0.25">
      <c r="R4288"/>
      <c r="S4288"/>
    </row>
    <row r="4289" spans="18:19" x14ac:dyDescent="0.25">
      <c r="R4289"/>
      <c r="S4289"/>
    </row>
    <row r="4290" spans="18:19" x14ac:dyDescent="0.25">
      <c r="R4290"/>
      <c r="S4290"/>
    </row>
    <row r="4291" spans="18:19" x14ac:dyDescent="0.25">
      <c r="R4291"/>
      <c r="S4291"/>
    </row>
    <row r="4292" spans="18:19" x14ac:dyDescent="0.25">
      <c r="R4292"/>
      <c r="S4292"/>
    </row>
    <row r="4293" spans="18:19" x14ac:dyDescent="0.25">
      <c r="R4293"/>
      <c r="S4293"/>
    </row>
    <row r="4294" spans="18:19" x14ac:dyDescent="0.25">
      <c r="R4294"/>
      <c r="S4294"/>
    </row>
    <row r="4295" spans="18:19" x14ac:dyDescent="0.25">
      <c r="R4295"/>
      <c r="S4295"/>
    </row>
    <row r="4296" spans="18:19" x14ac:dyDescent="0.25">
      <c r="R4296"/>
      <c r="S4296"/>
    </row>
    <row r="4297" spans="18:19" x14ac:dyDescent="0.25">
      <c r="R4297"/>
      <c r="S4297"/>
    </row>
    <row r="4298" spans="18:19" x14ac:dyDescent="0.25">
      <c r="R4298"/>
      <c r="S4298"/>
    </row>
    <row r="4299" spans="18:19" x14ac:dyDescent="0.25">
      <c r="R4299"/>
      <c r="S4299"/>
    </row>
    <row r="4300" spans="18:19" x14ac:dyDescent="0.25">
      <c r="R4300"/>
      <c r="S4300"/>
    </row>
    <row r="4301" spans="18:19" x14ac:dyDescent="0.25">
      <c r="R4301"/>
      <c r="S4301"/>
    </row>
    <row r="4302" spans="18:19" x14ac:dyDescent="0.25">
      <c r="R4302"/>
      <c r="S4302"/>
    </row>
    <row r="4303" spans="18:19" x14ac:dyDescent="0.25">
      <c r="R4303"/>
      <c r="S4303"/>
    </row>
    <row r="4304" spans="18:19" x14ac:dyDescent="0.25">
      <c r="R4304"/>
      <c r="S4304"/>
    </row>
    <row r="4305" spans="18:19" x14ac:dyDescent="0.25">
      <c r="R4305"/>
      <c r="S4305"/>
    </row>
    <row r="4306" spans="18:19" x14ac:dyDescent="0.25">
      <c r="R4306"/>
      <c r="S4306"/>
    </row>
    <row r="4307" spans="18:19" x14ac:dyDescent="0.25">
      <c r="R4307"/>
      <c r="S4307"/>
    </row>
    <row r="4308" spans="18:19" x14ac:dyDescent="0.25">
      <c r="R4308"/>
      <c r="S4308"/>
    </row>
    <row r="4309" spans="18:19" x14ac:dyDescent="0.25">
      <c r="R4309"/>
      <c r="S4309"/>
    </row>
    <row r="4310" spans="18:19" x14ac:dyDescent="0.25">
      <c r="R4310"/>
      <c r="S4310"/>
    </row>
    <row r="4311" spans="18:19" x14ac:dyDescent="0.25">
      <c r="R4311"/>
      <c r="S4311"/>
    </row>
    <row r="4312" spans="18:19" x14ac:dyDescent="0.25">
      <c r="R4312"/>
      <c r="S4312"/>
    </row>
    <row r="4313" spans="18:19" x14ac:dyDescent="0.25">
      <c r="R4313"/>
      <c r="S4313"/>
    </row>
    <row r="4314" spans="18:19" x14ac:dyDescent="0.25">
      <c r="R4314"/>
      <c r="S4314"/>
    </row>
    <row r="4315" spans="18:19" x14ac:dyDescent="0.25">
      <c r="R4315"/>
      <c r="S4315"/>
    </row>
    <row r="4316" spans="18:19" x14ac:dyDescent="0.25">
      <c r="R4316"/>
      <c r="S4316"/>
    </row>
    <row r="4317" spans="18:19" x14ac:dyDescent="0.25">
      <c r="R4317"/>
      <c r="S4317"/>
    </row>
    <row r="4318" spans="18:19" x14ac:dyDescent="0.25">
      <c r="R4318"/>
      <c r="S4318"/>
    </row>
    <row r="4319" spans="18:19" x14ac:dyDescent="0.25">
      <c r="R4319"/>
      <c r="S4319"/>
    </row>
    <row r="4320" spans="18:19" x14ac:dyDescent="0.25">
      <c r="R4320"/>
      <c r="S4320"/>
    </row>
    <row r="4321" spans="18:19" x14ac:dyDescent="0.25">
      <c r="R4321"/>
      <c r="S4321"/>
    </row>
    <row r="4322" spans="18:19" x14ac:dyDescent="0.25">
      <c r="R4322"/>
      <c r="S4322"/>
    </row>
    <row r="4323" spans="18:19" x14ac:dyDescent="0.25">
      <c r="R4323"/>
      <c r="S4323"/>
    </row>
    <row r="4324" spans="18:19" x14ac:dyDescent="0.25">
      <c r="R4324"/>
      <c r="S4324"/>
    </row>
    <row r="4325" spans="18:19" x14ac:dyDescent="0.25">
      <c r="R4325"/>
      <c r="S4325"/>
    </row>
    <row r="4326" spans="18:19" x14ac:dyDescent="0.25">
      <c r="R4326"/>
      <c r="S4326"/>
    </row>
    <row r="4327" spans="18:19" x14ac:dyDescent="0.25">
      <c r="R4327"/>
      <c r="S4327"/>
    </row>
    <row r="4328" spans="18:19" x14ac:dyDescent="0.25">
      <c r="R4328"/>
      <c r="S4328"/>
    </row>
    <row r="4329" spans="18:19" x14ac:dyDescent="0.25">
      <c r="R4329"/>
      <c r="S4329"/>
    </row>
    <row r="4330" spans="18:19" x14ac:dyDescent="0.25">
      <c r="R4330"/>
      <c r="S4330"/>
    </row>
    <row r="4331" spans="18:19" x14ac:dyDescent="0.25">
      <c r="R4331"/>
      <c r="S4331"/>
    </row>
    <row r="4332" spans="18:19" x14ac:dyDescent="0.25">
      <c r="R4332"/>
      <c r="S4332"/>
    </row>
    <row r="4333" spans="18:19" x14ac:dyDescent="0.25">
      <c r="R4333"/>
      <c r="S4333"/>
    </row>
    <row r="4334" spans="18:19" x14ac:dyDescent="0.25">
      <c r="R4334"/>
      <c r="S4334"/>
    </row>
    <row r="4335" spans="18:19" x14ac:dyDescent="0.25">
      <c r="R4335"/>
      <c r="S4335"/>
    </row>
    <row r="4336" spans="18:19" x14ac:dyDescent="0.25">
      <c r="R4336"/>
      <c r="S4336"/>
    </row>
    <row r="4337" spans="18:19" x14ac:dyDescent="0.25">
      <c r="R4337"/>
      <c r="S4337"/>
    </row>
    <row r="4338" spans="18:19" x14ac:dyDescent="0.25">
      <c r="R4338"/>
      <c r="S4338"/>
    </row>
    <row r="4339" spans="18:19" x14ac:dyDescent="0.25">
      <c r="R4339"/>
      <c r="S4339"/>
    </row>
    <row r="4340" spans="18:19" x14ac:dyDescent="0.25">
      <c r="R4340"/>
      <c r="S4340"/>
    </row>
    <row r="4341" spans="18:19" x14ac:dyDescent="0.25">
      <c r="R4341"/>
      <c r="S4341"/>
    </row>
    <row r="4342" spans="18:19" x14ac:dyDescent="0.25">
      <c r="R4342"/>
      <c r="S4342"/>
    </row>
    <row r="4343" spans="18:19" x14ac:dyDescent="0.25">
      <c r="R4343"/>
      <c r="S4343"/>
    </row>
    <row r="4344" spans="18:19" x14ac:dyDescent="0.25">
      <c r="R4344"/>
      <c r="S4344"/>
    </row>
    <row r="4345" spans="18:19" x14ac:dyDescent="0.25">
      <c r="R4345"/>
      <c r="S4345"/>
    </row>
    <row r="4346" spans="18:19" x14ac:dyDescent="0.25">
      <c r="R4346"/>
      <c r="S4346"/>
    </row>
    <row r="4347" spans="18:19" x14ac:dyDescent="0.25">
      <c r="R4347"/>
      <c r="S4347"/>
    </row>
    <row r="4348" spans="18:19" x14ac:dyDescent="0.25">
      <c r="R4348"/>
      <c r="S4348"/>
    </row>
    <row r="4349" spans="18:19" x14ac:dyDescent="0.25">
      <c r="R4349"/>
      <c r="S4349"/>
    </row>
    <row r="4350" spans="18:19" x14ac:dyDescent="0.25">
      <c r="R4350"/>
      <c r="S4350"/>
    </row>
    <row r="4351" spans="18:19" x14ac:dyDescent="0.25">
      <c r="R4351"/>
      <c r="S4351"/>
    </row>
    <row r="4352" spans="18:19" x14ac:dyDescent="0.25">
      <c r="R4352"/>
      <c r="S4352"/>
    </row>
    <row r="4353" spans="18:19" x14ac:dyDescent="0.25">
      <c r="R4353"/>
      <c r="S4353"/>
    </row>
    <row r="4354" spans="18:19" x14ac:dyDescent="0.25">
      <c r="R4354"/>
      <c r="S4354"/>
    </row>
    <row r="4355" spans="18:19" x14ac:dyDescent="0.25">
      <c r="R4355"/>
      <c r="S4355"/>
    </row>
    <row r="4356" spans="18:19" x14ac:dyDescent="0.25">
      <c r="R4356"/>
      <c r="S4356"/>
    </row>
    <row r="4357" spans="18:19" x14ac:dyDescent="0.25">
      <c r="R4357"/>
      <c r="S4357"/>
    </row>
    <row r="4358" spans="18:19" x14ac:dyDescent="0.25">
      <c r="R4358"/>
      <c r="S4358"/>
    </row>
    <row r="4359" spans="18:19" x14ac:dyDescent="0.25">
      <c r="R4359"/>
      <c r="S4359"/>
    </row>
    <row r="4360" spans="18:19" x14ac:dyDescent="0.25">
      <c r="R4360"/>
      <c r="S4360"/>
    </row>
    <row r="4361" spans="18:19" x14ac:dyDescent="0.25">
      <c r="R4361"/>
      <c r="S4361"/>
    </row>
    <row r="4362" spans="18:19" x14ac:dyDescent="0.25">
      <c r="R4362"/>
      <c r="S4362"/>
    </row>
    <row r="4363" spans="18:19" x14ac:dyDescent="0.25">
      <c r="R4363"/>
      <c r="S4363"/>
    </row>
    <row r="4364" spans="18:19" x14ac:dyDescent="0.25">
      <c r="R4364"/>
      <c r="S4364"/>
    </row>
    <row r="4365" spans="18:19" x14ac:dyDescent="0.25">
      <c r="R4365"/>
      <c r="S4365"/>
    </row>
    <row r="4366" spans="18:19" x14ac:dyDescent="0.25">
      <c r="R4366"/>
      <c r="S4366"/>
    </row>
    <row r="4367" spans="18:19" x14ac:dyDescent="0.25">
      <c r="R4367"/>
      <c r="S4367"/>
    </row>
    <row r="4368" spans="18:19" x14ac:dyDescent="0.25">
      <c r="R4368"/>
      <c r="S4368"/>
    </row>
    <row r="4369" spans="18:19" x14ac:dyDescent="0.25">
      <c r="R4369"/>
      <c r="S4369"/>
    </row>
    <row r="4370" spans="18:19" x14ac:dyDescent="0.25">
      <c r="R4370"/>
      <c r="S4370"/>
    </row>
    <row r="4371" spans="18:19" x14ac:dyDescent="0.25">
      <c r="R4371"/>
      <c r="S4371"/>
    </row>
    <row r="4372" spans="18:19" x14ac:dyDescent="0.25">
      <c r="R4372"/>
      <c r="S4372"/>
    </row>
    <row r="4373" spans="18:19" x14ac:dyDescent="0.25">
      <c r="R4373"/>
      <c r="S4373"/>
    </row>
    <row r="4374" spans="18:19" x14ac:dyDescent="0.25">
      <c r="R4374"/>
      <c r="S4374"/>
    </row>
    <row r="4375" spans="18:19" x14ac:dyDescent="0.25">
      <c r="R4375"/>
      <c r="S4375"/>
    </row>
    <row r="4376" spans="18:19" x14ac:dyDescent="0.25">
      <c r="R4376"/>
      <c r="S4376"/>
    </row>
    <row r="4377" spans="18:19" x14ac:dyDescent="0.25">
      <c r="R4377"/>
      <c r="S4377"/>
    </row>
    <row r="4378" spans="18:19" x14ac:dyDescent="0.25">
      <c r="R4378"/>
      <c r="S4378"/>
    </row>
    <row r="4379" spans="18:19" x14ac:dyDescent="0.25">
      <c r="R4379"/>
      <c r="S4379"/>
    </row>
    <row r="4380" spans="18:19" x14ac:dyDescent="0.25">
      <c r="R4380"/>
      <c r="S4380"/>
    </row>
    <row r="4381" spans="18:19" x14ac:dyDescent="0.25">
      <c r="R4381"/>
      <c r="S4381"/>
    </row>
    <row r="4382" spans="18:19" x14ac:dyDescent="0.25">
      <c r="R4382"/>
      <c r="S4382"/>
    </row>
    <row r="4383" spans="18:19" x14ac:dyDescent="0.25">
      <c r="R4383"/>
      <c r="S4383"/>
    </row>
    <row r="4384" spans="18:19" x14ac:dyDescent="0.25">
      <c r="R4384"/>
      <c r="S4384"/>
    </row>
    <row r="4385" spans="18:19" x14ac:dyDescent="0.25">
      <c r="R4385"/>
      <c r="S4385"/>
    </row>
    <row r="4386" spans="18:19" x14ac:dyDescent="0.25">
      <c r="R4386"/>
      <c r="S4386"/>
    </row>
    <row r="4387" spans="18:19" x14ac:dyDescent="0.25">
      <c r="R4387"/>
      <c r="S4387"/>
    </row>
    <row r="4388" spans="18:19" x14ac:dyDescent="0.25">
      <c r="R4388"/>
      <c r="S4388"/>
    </row>
    <row r="4389" spans="18:19" x14ac:dyDescent="0.25">
      <c r="R4389"/>
      <c r="S4389"/>
    </row>
    <row r="4390" spans="18:19" x14ac:dyDescent="0.25">
      <c r="R4390"/>
      <c r="S4390"/>
    </row>
    <row r="4391" spans="18:19" x14ac:dyDescent="0.25">
      <c r="R4391"/>
      <c r="S4391"/>
    </row>
    <row r="4392" spans="18:19" x14ac:dyDescent="0.25">
      <c r="R4392"/>
      <c r="S4392"/>
    </row>
    <row r="4393" spans="18:19" x14ac:dyDescent="0.25">
      <c r="R4393"/>
      <c r="S4393"/>
    </row>
    <row r="4394" spans="18:19" x14ac:dyDescent="0.25">
      <c r="R4394"/>
      <c r="S4394"/>
    </row>
    <row r="4395" spans="18:19" x14ac:dyDescent="0.25">
      <c r="R4395"/>
      <c r="S4395"/>
    </row>
    <row r="4396" spans="18:19" x14ac:dyDescent="0.25">
      <c r="R4396"/>
      <c r="S4396"/>
    </row>
    <row r="4397" spans="18:19" x14ac:dyDescent="0.25">
      <c r="R4397"/>
      <c r="S4397"/>
    </row>
    <row r="4398" spans="18:19" x14ac:dyDescent="0.25">
      <c r="R4398"/>
      <c r="S4398"/>
    </row>
    <row r="4399" spans="18:19" x14ac:dyDescent="0.25">
      <c r="R4399"/>
      <c r="S4399"/>
    </row>
    <row r="4400" spans="18:19" x14ac:dyDescent="0.25">
      <c r="R4400"/>
      <c r="S4400"/>
    </row>
    <row r="4401" spans="18:19" x14ac:dyDescent="0.25">
      <c r="R4401"/>
      <c r="S4401"/>
    </row>
    <row r="4402" spans="18:19" x14ac:dyDescent="0.25">
      <c r="R4402"/>
      <c r="S4402"/>
    </row>
    <row r="4403" spans="18:19" x14ac:dyDescent="0.25">
      <c r="R4403"/>
      <c r="S4403"/>
    </row>
    <row r="4404" spans="18:19" x14ac:dyDescent="0.25">
      <c r="R4404"/>
      <c r="S4404"/>
    </row>
    <row r="4405" spans="18:19" x14ac:dyDescent="0.25">
      <c r="R4405"/>
      <c r="S4405"/>
    </row>
    <row r="4406" spans="18:19" x14ac:dyDescent="0.25">
      <c r="R4406"/>
      <c r="S4406"/>
    </row>
    <row r="4407" spans="18:19" x14ac:dyDescent="0.25">
      <c r="R4407"/>
      <c r="S4407"/>
    </row>
    <row r="4408" spans="18:19" x14ac:dyDescent="0.25">
      <c r="R4408"/>
      <c r="S4408"/>
    </row>
    <row r="4409" spans="18:19" x14ac:dyDescent="0.25">
      <c r="R4409"/>
      <c r="S4409"/>
    </row>
    <row r="4410" spans="18:19" x14ac:dyDescent="0.25">
      <c r="R4410"/>
      <c r="S4410"/>
    </row>
    <row r="4411" spans="18:19" x14ac:dyDescent="0.25">
      <c r="R4411"/>
      <c r="S4411"/>
    </row>
    <row r="4412" spans="18:19" x14ac:dyDescent="0.25">
      <c r="R4412"/>
      <c r="S4412"/>
    </row>
    <row r="4413" spans="18:19" x14ac:dyDescent="0.25">
      <c r="R4413"/>
      <c r="S4413"/>
    </row>
    <row r="4414" spans="18:19" x14ac:dyDescent="0.25">
      <c r="R4414"/>
      <c r="S4414"/>
    </row>
    <row r="4415" spans="18:19" x14ac:dyDescent="0.25">
      <c r="R4415"/>
      <c r="S4415"/>
    </row>
    <row r="4416" spans="18:19" x14ac:dyDescent="0.25">
      <c r="R4416"/>
      <c r="S4416"/>
    </row>
    <row r="4417" spans="18:19" x14ac:dyDescent="0.25">
      <c r="R4417"/>
      <c r="S4417"/>
    </row>
    <row r="4418" spans="18:19" x14ac:dyDescent="0.25">
      <c r="R4418"/>
      <c r="S4418"/>
    </row>
    <row r="4419" spans="18:19" x14ac:dyDescent="0.25">
      <c r="R4419"/>
      <c r="S4419"/>
    </row>
    <row r="4420" spans="18:19" x14ac:dyDescent="0.25">
      <c r="R4420"/>
      <c r="S4420"/>
    </row>
    <row r="4421" spans="18:19" x14ac:dyDescent="0.25">
      <c r="R4421"/>
      <c r="S4421"/>
    </row>
    <row r="4422" spans="18:19" x14ac:dyDescent="0.25">
      <c r="R4422"/>
      <c r="S4422"/>
    </row>
    <row r="4423" spans="18:19" x14ac:dyDescent="0.25">
      <c r="R4423"/>
      <c r="S4423"/>
    </row>
    <row r="4424" spans="18:19" x14ac:dyDescent="0.25">
      <c r="R4424"/>
      <c r="S4424"/>
    </row>
    <row r="4425" spans="18:19" x14ac:dyDescent="0.25">
      <c r="R4425"/>
      <c r="S4425"/>
    </row>
    <row r="4426" spans="18:19" x14ac:dyDescent="0.25">
      <c r="R4426"/>
      <c r="S4426"/>
    </row>
    <row r="4427" spans="18:19" x14ac:dyDescent="0.25">
      <c r="R4427"/>
      <c r="S4427"/>
    </row>
    <row r="4428" spans="18:19" x14ac:dyDescent="0.25">
      <c r="R4428"/>
      <c r="S4428"/>
    </row>
    <row r="4429" spans="18:19" x14ac:dyDescent="0.25">
      <c r="R4429"/>
      <c r="S4429"/>
    </row>
    <row r="4430" spans="18:19" x14ac:dyDescent="0.25">
      <c r="R4430"/>
      <c r="S4430"/>
    </row>
    <row r="4431" spans="18:19" x14ac:dyDescent="0.25">
      <c r="R4431"/>
      <c r="S4431"/>
    </row>
    <row r="4432" spans="18:19" x14ac:dyDescent="0.25">
      <c r="R4432"/>
      <c r="S4432"/>
    </row>
    <row r="4433" spans="18:19" x14ac:dyDescent="0.25">
      <c r="R4433"/>
      <c r="S4433"/>
    </row>
    <row r="4434" spans="18:19" x14ac:dyDescent="0.25">
      <c r="R4434"/>
      <c r="S4434"/>
    </row>
    <row r="4435" spans="18:19" x14ac:dyDescent="0.25">
      <c r="R4435"/>
      <c r="S4435"/>
    </row>
    <row r="4436" spans="18:19" x14ac:dyDescent="0.25">
      <c r="R4436"/>
      <c r="S4436"/>
    </row>
    <row r="4437" spans="18:19" x14ac:dyDescent="0.25">
      <c r="R4437"/>
      <c r="S4437"/>
    </row>
    <row r="4438" spans="18:19" x14ac:dyDescent="0.25">
      <c r="R4438"/>
      <c r="S4438"/>
    </row>
    <row r="4439" spans="18:19" x14ac:dyDescent="0.25">
      <c r="R4439"/>
      <c r="S4439"/>
    </row>
    <row r="4440" spans="18:19" x14ac:dyDescent="0.25">
      <c r="R4440"/>
      <c r="S4440"/>
    </row>
    <row r="4441" spans="18:19" x14ac:dyDescent="0.25">
      <c r="R4441"/>
      <c r="S4441"/>
    </row>
    <row r="4442" spans="18:19" x14ac:dyDescent="0.25">
      <c r="R4442"/>
      <c r="S4442"/>
    </row>
    <row r="4443" spans="18:19" x14ac:dyDescent="0.25">
      <c r="R4443"/>
      <c r="S4443"/>
    </row>
    <row r="4444" spans="18:19" x14ac:dyDescent="0.25">
      <c r="R4444"/>
      <c r="S4444"/>
    </row>
    <row r="4445" spans="18:19" x14ac:dyDescent="0.25">
      <c r="R4445"/>
      <c r="S4445"/>
    </row>
    <row r="4446" spans="18:19" x14ac:dyDescent="0.25">
      <c r="R4446"/>
      <c r="S4446"/>
    </row>
    <row r="4447" spans="18:19" x14ac:dyDescent="0.25">
      <c r="R4447"/>
      <c r="S4447"/>
    </row>
    <row r="4448" spans="18:19" x14ac:dyDescent="0.25">
      <c r="R4448"/>
      <c r="S4448"/>
    </row>
    <row r="4449" spans="18:19" x14ac:dyDescent="0.25">
      <c r="R4449"/>
      <c r="S4449"/>
    </row>
    <row r="4450" spans="18:19" x14ac:dyDescent="0.25">
      <c r="R4450"/>
      <c r="S4450"/>
    </row>
    <row r="4451" spans="18:19" x14ac:dyDescent="0.25">
      <c r="R4451"/>
      <c r="S4451"/>
    </row>
    <row r="4452" spans="18:19" x14ac:dyDescent="0.25">
      <c r="R4452"/>
      <c r="S4452"/>
    </row>
    <row r="4453" spans="18:19" x14ac:dyDescent="0.25">
      <c r="R4453"/>
      <c r="S4453"/>
    </row>
    <row r="4454" spans="18:19" x14ac:dyDescent="0.25">
      <c r="R4454"/>
      <c r="S4454"/>
    </row>
    <row r="4455" spans="18:19" x14ac:dyDescent="0.25">
      <c r="R4455"/>
      <c r="S4455"/>
    </row>
    <row r="4456" spans="18:19" x14ac:dyDescent="0.25">
      <c r="R4456"/>
      <c r="S4456"/>
    </row>
    <row r="4457" spans="18:19" x14ac:dyDescent="0.25">
      <c r="R4457"/>
      <c r="S4457"/>
    </row>
    <row r="4458" spans="18:19" x14ac:dyDescent="0.25">
      <c r="R4458"/>
      <c r="S4458"/>
    </row>
    <row r="4459" spans="18:19" x14ac:dyDescent="0.25">
      <c r="R4459"/>
      <c r="S4459"/>
    </row>
    <row r="4460" spans="18:19" x14ac:dyDescent="0.25">
      <c r="R4460"/>
      <c r="S4460"/>
    </row>
    <row r="4461" spans="18:19" x14ac:dyDescent="0.25">
      <c r="R4461"/>
      <c r="S4461"/>
    </row>
    <row r="4462" spans="18:19" x14ac:dyDescent="0.25">
      <c r="R4462"/>
      <c r="S4462"/>
    </row>
    <row r="4463" spans="18:19" x14ac:dyDescent="0.25">
      <c r="R4463"/>
      <c r="S4463"/>
    </row>
    <row r="4464" spans="18:19" x14ac:dyDescent="0.25">
      <c r="R4464"/>
      <c r="S4464"/>
    </row>
    <row r="4465" spans="18:19" x14ac:dyDescent="0.25">
      <c r="R4465"/>
      <c r="S4465"/>
    </row>
    <row r="4466" spans="18:19" x14ac:dyDescent="0.25">
      <c r="R4466"/>
      <c r="S4466"/>
    </row>
    <row r="4467" spans="18:19" x14ac:dyDescent="0.25">
      <c r="R4467"/>
      <c r="S4467"/>
    </row>
    <row r="4468" spans="18:19" x14ac:dyDescent="0.25">
      <c r="R4468"/>
      <c r="S4468"/>
    </row>
    <row r="4469" spans="18:19" x14ac:dyDescent="0.25">
      <c r="R4469"/>
      <c r="S4469"/>
    </row>
    <row r="4470" spans="18:19" x14ac:dyDescent="0.25">
      <c r="R4470"/>
      <c r="S4470"/>
    </row>
    <row r="4471" spans="18:19" x14ac:dyDescent="0.25">
      <c r="R4471"/>
      <c r="S4471"/>
    </row>
    <row r="4472" spans="18:19" x14ac:dyDescent="0.25">
      <c r="R4472"/>
      <c r="S4472"/>
    </row>
    <row r="4473" spans="18:19" x14ac:dyDescent="0.25">
      <c r="R4473"/>
      <c r="S4473"/>
    </row>
    <row r="4474" spans="18:19" x14ac:dyDescent="0.25">
      <c r="R4474"/>
      <c r="S4474"/>
    </row>
    <row r="4475" spans="18:19" x14ac:dyDescent="0.25">
      <c r="R4475"/>
      <c r="S4475"/>
    </row>
    <row r="4476" spans="18:19" x14ac:dyDescent="0.25">
      <c r="R4476"/>
      <c r="S4476"/>
    </row>
    <row r="4477" spans="18:19" x14ac:dyDescent="0.25">
      <c r="R4477"/>
      <c r="S4477"/>
    </row>
    <row r="4478" spans="18:19" x14ac:dyDescent="0.25">
      <c r="R4478"/>
      <c r="S4478"/>
    </row>
    <row r="4479" spans="18:19" x14ac:dyDescent="0.25">
      <c r="R4479"/>
      <c r="S4479"/>
    </row>
    <row r="4480" spans="18:19" x14ac:dyDescent="0.25">
      <c r="R4480"/>
      <c r="S4480"/>
    </row>
    <row r="4481" spans="18:19" x14ac:dyDescent="0.25">
      <c r="R4481"/>
      <c r="S4481"/>
    </row>
    <row r="4482" spans="18:19" x14ac:dyDescent="0.25">
      <c r="R4482"/>
      <c r="S4482"/>
    </row>
    <row r="4483" spans="18:19" x14ac:dyDescent="0.25">
      <c r="R4483"/>
      <c r="S4483"/>
    </row>
    <row r="4484" spans="18:19" x14ac:dyDescent="0.25">
      <c r="R4484"/>
      <c r="S4484"/>
    </row>
    <row r="4485" spans="18:19" x14ac:dyDescent="0.25">
      <c r="R4485"/>
      <c r="S4485"/>
    </row>
    <row r="4486" spans="18:19" x14ac:dyDescent="0.25">
      <c r="R4486"/>
      <c r="S4486"/>
    </row>
    <row r="4487" spans="18:19" x14ac:dyDescent="0.25">
      <c r="R4487"/>
      <c r="S4487"/>
    </row>
    <row r="4488" spans="18:19" x14ac:dyDescent="0.25">
      <c r="R4488"/>
      <c r="S4488"/>
    </row>
    <row r="4489" spans="18:19" x14ac:dyDescent="0.25">
      <c r="R4489"/>
      <c r="S4489"/>
    </row>
    <row r="4490" spans="18:19" x14ac:dyDescent="0.25">
      <c r="R4490"/>
      <c r="S4490"/>
    </row>
    <row r="4491" spans="18:19" x14ac:dyDescent="0.25">
      <c r="R4491"/>
      <c r="S4491"/>
    </row>
    <row r="4492" spans="18:19" x14ac:dyDescent="0.25">
      <c r="R4492"/>
      <c r="S4492"/>
    </row>
    <row r="4493" spans="18:19" x14ac:dyDescent="0.25">
      <c r="R4493"/>
      <c r="S4493"/>
    </row>
    <row r="4494" spans="18:19" x14ac:dyDescent="0.25">
      <c r="R4494"/>
      <c r="S4494"/>
    </row>
    <row r="4495" spans="18:19" x14ac:dyDescent="0.25">
      <c r="R4495"/>
      <c r="S4495"/>
    </row>
    <row r="4496" spans="18:19" x14ac:dyDescent="0.25">
      <c r="R4496"/>
      <c r="S4496"/>
    </row>
    <row r="4497" spans="18:19" x14ac:dyDescent="0.25">
      <c r="R4497"/>
      <c r="S4497"/>
    </row>
    <row r="4498" spans="18:19" x14ac:dyDescent="0.25">
      <c r="R4498"/>
      <c r="S4498"/>
    </row>
    <row r="4499" spans="18:19" x14ac:dyDescent="0.25">
      <c r="R4499"/>
      <c r="S4499"/>
    </row>
    <row r="4500" spans="18:19" x14ac:dyDescent="0.25">
      <c r="R4500"/>
      <c r="S4500"/>
    </row>
    <row r="4501" spans="18:19" x14ac:dyDescent="0.25">
      <c r="R4501"/>
      <c r="S4501"/>
    </row>
    <row r="4502" spans="18:19" x14ac:dyDescent="0.25">
      <c r="R4502"/>
      <c r="S4502"/>
    </row>
    <row r="4503" spans="18:19" x14ac:dyDescent="0.25">
      <c r="R4503"/>
      <c r="S4503"/>
    </row>
    <row r="4504" spans="18:19" x14ac:dyDescent="0.25">
      <c r="R4504"/>
      <c r="S4504"/>
    </row>
    <row r="4505" spans="18:19" x14ac:dyDescent="0.25">
      <c r="R4505"/>
      <c r="S4505"/>
    </row>
    <row r="4506" spans="18:19" x14ac:dyDescent="0.25">
      <c r="R4506"/>
      <c r="S4506"/>
    </row>
    <row r="4507" spans="18:19" x14ac:dyDescent="0.25">
      <c r="R4507"/>
      <c r="S4507"/>
    </row>
    <row r="4508" spans="18:19" x14ac:dyDescent="0.25">
      <c r="R4508"/>
      <c r="S4508"/>
    </row>
    <row r="4509" spans="18:19" x14ac:dyDescent="0.25">
      <c r="R4509"/>
      <c r="S4509"/>
    </row>
    <row r="4510" spans="18:19" x14ac:dyDescent="0.25">
      <c r="R4510"/>
      <c r="S4510"/>
    </row>
    <row r="4511" spans="18:19" x14ac:dyDescent="0.25">
      <c r="R4511"/>
      <c r="S4511"/>
    </row>
    <row r="4512" spans="18:19" x14ac:dyDescent="0.25">
      <c r="R4512"/>
      <c r="S4512"/>
    </row>
    <row r="4513" spans="18:19" x14ac:dyDescent="0.25">
      <c r="R4513"/>
      <c r="S4513"/>
    </row>
    <row r="4514" spans="18:19" x14ac:dyDescent="0.25">
      <c r="R4514"/>
      <c r="S4514"/>
    </row>
    <row r="4515" spans="18:19" x14ac:dyDescent="0.25">
      <c r="R4515"/>
      <c r="S4515"/>
    </row>
    <row r="4516" spans="18:19" x14ac:dyDescent="0.25">
      <c r="R4516"/>
      <c r="S4516"/>
    </row>
    <row r="4517" spans="18:19" x14ac:dyDescent="0.25">
      <c r="R4517"/>
      <c r="S4517"/>
    </row>
    <row r="4518" spans="18:19" x14ac:dyDescent="0.25">
      <c r="R4518"/>
      <c r="S4518"/>
    </row>
    <row r="4519" spans="18:19" x14ac:dyDescent="0.25">
      <c r="R4519"/>
      <c r="S4519"/>
    </row>
    <row r="4520" spans="18:19" x14ac:dyDescent="0.25">
      <c r="R4520"/>
      <c r="S4520"/>
    </row>
    <row r="4521" spans="18:19" x14ac:dyDescent="0.25">
      <c r="R4521"/>
      <c r="S4521"/>
    </row>
    <row r="4522" spans="18:19" x14ac:dyDescent="0.25">
      <c r="R4522"/>
      <c r="S4522"/>
    </row>
    <row r="4523" spans="18:19" x14ac:dyDescent="0.25">
      <c r="R4523"/>
      <c r="S4523"/>
    </row>
    <row r="4524" spans="18:19" x14ac:dyDescent="0.25">
      <c r="R4524"/>
      <c r="S4524"/>
    </row>
    <row r="4525" spans="18:19" x14ac:dyDescent="0.25">
      <c r="R4525"/>
      <c r="S4525"/>
    </row>
    <row r="4526" spans="18:19" x14ac:dyDescent="0.25">
      <c r="R4526"/>
      <c r="S4526"/>
    </row>
    <row r="4527" spans="18:19" x14ac:dyDescent="0.25">
      <c r="R4527"/>
      <c r="S4527"/>
    </row>
    <row r="4528" spans="18:19" x14ac:dyDescent="0.25">
      <c r="R4528"/>
      <c r="S4528"/>
    </row>
    <row r="4529" spans="18:19" x14ac:dyDescent="0.25">
      <c r="R4529"/>
      <c r="S4529"/>
    </row>
    <row r="4530" spans="18:19" x14ac:dyDescent="0.25">
      <c r="R4530"/>
      <c r="S4530"/>
    </row>
    <row r="4531" spans="18:19" x14ac:dyDescent="0.25">
      <c r="R4531"/>
      <c r="S4531"/>
    </row>
    <row r="4532" spans="18:19" x14ac:dyDescent="0.25">
      <c r="R4532"/>
      <c r="S4532"/>
    </row>
    <row r="4533" spans="18:19" x14ac:dyDescent="0.25">
      <c r="R4533"/>
      <c r="S4533"/>
    </row>
    <row r="4534" spans="18:19" x14ac:dyDescent="0.25">
      <c r="R4534"/>
      <c r="S4534"/>
    </row>
    <row r="4535" spans="18:19" x14ac:dyDescent="0.25">
      <c r="R4535"/>
      <c r="S4535"/>
    </row>
    <row r="4536" spans="18:19" x14ac:dyDescent="0.25">
      <c r="R4536"/>
      <c r="S4536"/>
    </row>
    <row r="4537" spans="18:19" x14ac:dyDescent="0.25">
      <c r="R4537"/>
      <c r="S4537"/>
    </row>
    <row r="4538" spans="18:19" x14ac:dyDescent="0.25">
      <c r="R4538"/>
      <c r="S4538"/>
    </row>
    <row r="4539" spans="18:19" x14ac:dyDescent="0.25">
      <c r="R4539"/>
      <c r="S4539"/>
    </row>
    <row r="4540" spans="18:19" x14ac:dyDescent="0.25">
      <c r="R4540"/>
      <c r="S4540"/>
    </row>
    <row r="4541" spans="18:19" x14ac:dyDescent="0.25">
      <c r="R4541"/>
      <c r="S4541"/>
    </row>
    <row r="4542" spans="18:19" x14ac:dyDescent="0.25">
      <c r="R4542"/>
      <c r="S4542"/>
    </row>
    <row r="4543" spans="18:19" x14ac:dyDescent="0.25">
      <c r="R4543"/>
      <c r="S4543"/>
    </row>
    <row r="4544" spans="18:19" x14ac:dyDescent="0.25">
      <c r="R4544"/>
      <c r="S4544"/>
    </row>
    <row r="4545" spans="18:19" x14ac:dyDescent="0.25">
      <c r="R4545"/>
      <c r="S4545"/>
    </row>
    <row r="4546" spans="18:19" x14ac:dyDescent="0.25">
      <c r="R4546"/>
      <c r="S4546"/>
    </row>
    <row r="4547" spans="18:19" x14ac:dyDescent="0.25">
      <c r="R4547"/>
      <c r="S4547"/>
    </row>
    <row r="4548" spans="18:19" x14ac:dyDescent="0.25">
      <c r="R4548"/>
      <c r="S4548"/>
    </row>
    <row r="4549" spans="18:19" x14ac:dyDescent="0.25">
      <c r="R4549"/>
      <c r="S4549"/>
    </row>
    <row r="4550" spans="18:19" x14ac:dyDescent="0.25">
      <c r="R4550"/>
      <c r="S4550"/>
    </row>
    <row r="4551" spans="18:19" x14ac:dyDescent="0.25">
      <c r="R4551"/>
      <c r="S4551"/>
    </row>
    <row r="4552" spans="18:19" x14ac:dyDescent="0.25">
      <c r="R4552"/>
      <c r="S4552"/>
    </row>
    <row r="4553" spans="18:19" x14ac:dyDescent="0.25">
      <c r="R4553"/>
      <c r="S4553"/>
    </row>
    <row r="4554" spans="18:19" x14ac:dyDescent="0.25">
      <c r="R4554"/>
      <c r="S4554"/>
    </row>
    <row r="4555" spans="18:19" x14ac:dyDescent="0.25">
      <c r="R4555"/>
      <c r="S4555"/>
    </row>
    <row r="4556" spans="18:19" x14ac:dyDescent="0.25">
      <c r="R4556"/>
      <c r="S4556"/>
    </row>
    <row r="4557" spans="18:19" x14ac:dyDescent="0.25">
      <c r="R4557"/>
      <c r="S4557"/>
    </row>
    <row r="4558" spans="18:19" x14ac:dyDescent="0.25">
      <c r="R4558"/>
      <c r="S4558"/>
    </row>
    <row r="4559" spans="18:19" x14ac:dyDescent="0.25">
      <c r="R4559"/>
      <c r="S4559"/>
    </row>
    <row r="4560" spans="18:19" x14ac:dyDescent="0.25">
      <c r="R4560"/>
      <c r="S4560"/>
    </row>
    <row r="4561" spans="18:19" x14ac:dyDescent="0.25">
      <c r="R4561"/>
      <c r="S4561"/>
    </row>
    <row r="4562" spans="18:19" x14ac:dyDescent="0.25">
      <c r="R4562"/>
      <c r="S4562"/>
    </row>
    <row r="4563" spans="18:19" x14ac:dyDescent="0.25">
      <c r="R4563"/>
      <c r="S4563"/>
    </row>
    <row r="4564" spans="18:19" x14ac:dyDescent="0.25">
      <c r="R4564"/>
      <c r="S4564"/>
    </row>
    <row r="4565" spans="18:19" x14ac:dyDescent="0.25">
      <c r="R4565"/>
      <c r="S4565"/>
    </row>
    <row r="4566" spans="18:19" x14ac:dyDescent="0.25">
      <c r="R4566"/>
      <c r="S4566"/>
    </row>
    <row r="4567" spans="18:19" x14ac:dyDescent="0.25">
      <c r="R4567"/>
      <c r="S4567"/>
    </row>
    <row r="4568" spans="18:19" x14ac:dyDescent="0.25">
      <c r="R4568"/>
      <c r="S4568"/>
    </row>
    <row r="4569" spans="18:19" x14ac:dyDescent="0.25">
      <c r="R4569"/>
      <c r="S4569"/>
    </row>
    <row r="4570" spans="18:19" x14ac:dyDescent="0.25">
      <c r="R4570"/>
      <c r="S4570"/>
    </row>
    <row r="4571" spans="18:19" x14ac:dyDescent="0.25">
      <c r="R4571"/>
      <c r="S4571"/>
    </row>
    <row r="4572" spans="18:19" x14ac:dyDescent="0.25">
      <c r="R4572"/>
      <c r="S4572"/>
    </row>
    <row r="4573" spans="18:19" x14ac:dyDescent="0.25">
      <c r="R4573"/>
      <c r="S4573"/>
    </row>
    <row r="4574" spans="18:19" x14ac:dyDescent="0.25">
      <c r="R4574"/>
      <c r="S4574"/>
    </row>
    <row r="4575" spans="18:19" x14ac:dyDescent="0.25">
      <c r="R4575"/>
      <c r="S4575"/>
    </row>
    <row r="4576" spans="18:19" x14ac:dyDescent="0.25">
      <c r="R4576"/>
      <c r="S4576"/>
    </row>
    <row r="4577" spans="18:19" x14ac:dyDescent="0.25">
      <c r="R4577"/>
      <c r="S4577"/>
    </row>
    <row r="4578" spans="18:19" x14ac:dyDescent="0.25">
      <c r="R4578"/>
      <c r="S4578"/>
    </row>
    <row r="4579" spans="18:19" x14ac:dyDescent="0.25">
      <c r="R4579"/>
      <c r="S4579"/>
    </row>
    <row r="4580" spans="18:19" x14ac:dyDescent="0.25">
      <c r="R4580"/>
      <c r="S4580"/>
    </row>
    <row r="4581" spans="18:19" x14ac:dyDescent="0.25">
      <c r="R4581"/>
      <c r="S4581"/>
    </row>
    <row r="4582" spans="18:19" x14ac:dyDescent="0.25">
      <c r="R4582"/>
      <c r="S4582"/>
    </row>
    <row r="4583" spans="18:19" x14ac:dyDescent="0.25">
      <c r="R4583"/>
      <c r="S4583"/>
    </row>
    <row r="4584" spans="18:19" x14ac:dyDescent="0.25">
      <c r="R4584"/>
      <c r="S4584"/>
    </row>
    <row r="4585" spans="18:19" x14ac:dyDescent="0.25">
      <c r="R4585"/>
      <c r="S4585"/>
    </row>
    <row r="4586" spans="18:19" x14ac:dyDescent="0.25">
      <c r="R4586"/>
      <c r="S4586"/>
    </row>
    <row r="4587" spans="18:19" x14ac:dyDescent="0.25">
      <c r="R4587"/>
      <c r="S4587"/>
    </row>
    <row r="4588" spans="18:19" x14ac:dyDescent="0.25">
      <c r="R4588"/>
      <c r="S4588"/>
    </row>
    <row r="4589" spans="18:19" x14ac:dyDescent="0.25">
      <c r="R4589"/>
      <c r="S4589"/>
    </row>
    <row r="4590" spans="18:19" x14ac:dyDescent="0.25">
      <c r="R4590"/>
      <c r="S4590"/>
    </row>
    <row r="4591" spans="18:19" x14ac:dyDescent="0.25">
      <c r="R4591"/>
      <c r="S4591"/>
    </row>
    <row r="4592" spans="18:19" x14ac:dyDescent="0.25">
      <c r="R4592"/>
      <c r="S4592"/>
    </row>
    <row r="4593" spans="18:19" x14ac:dyDescent="0.25">
      <c r="R4593"/>
      <c r="S4593"/>
    </row>
    <row r="4594" spans="18:19" x14ac:dyDescent="0.25">
      <c r="R4594"/>
      <c r="S4594"/>
    </row>
    <row r="4595" spans="18:19" x14ac:dyDescent="0.25">
      <c r="R4595"/>
      <c r="S4595"/>
    </row>
    <row r="4596" spans="18:19" x14ac:dyDescent="0.25">
      <c r="R4596"/>
      <c r="S4596"/>
    </row>
    <row r="4597" spans="18:19" x14ac:dyDescent="0.25">
      <c r="R4597"/>
      <c r="S4597"/>
    </row>
    <row r="4598" spans="18:19" x14ac:dyDescent="0.25">
      <c r="R4598"/>
      <c r="S4598"/>
    </row>
    <row r="4599" spans="18:19" x14ac:dyDescent="0.25">
      <c r="R4599"/>
      <c r="S4599"/>
    </row>
    <row r="4600" spans="18:19" x14ac:dyDescent="0.25">
      <c r="R4600"/>
      <c r="S4600"/>
    </row>
    <row r="4601" spans="18:19" x14ac:dyDescent="0.25">
      <c r="R4601"/>
      <c r="S4601"/>
    </row>
    <row r="4602" spans="18:19" x14ac:dyDescent="0.25">
      <c r="R4602"/>
      <c r="S4602"/>
    </row>
    <row r="4603" spans="18:19" x14ac:dyDescent="0.25">
      <c r="R4603"/>
      <c r="S4603"/>
    </row>
    <row r="4604" spans="18:19" x14ac:dyDescent="0.25">
      <c r="R4604"/>
      <c r="S4604"/>
    </row>
    <row r="4605" spans="18:19" x14ac:dyDescent="0.25">
      <c r="R4605"/>
      <c r="S4605"/>
    </row>
    <row r="4606" spans="18:19" x14ac:dyDescent="0.25">
      <c r="R4606"/>
      <c r="S4606"/>
    </row>
    <row r="4607" spans="18:19" x14ac:dyDescent="0.25">
      <c r="R4607"/>
      <c r="S4607"/>
    </row>
    <row r="4608" spans="18:19" x14ac:dyDescent="0.25">
      <c r="R4608"/>
      <c r="S4608"/>
    </row>
    <row r="4609" spans="18:19" x14ac:dyDescent="0.25">
      <c r="R4609"/>
      <c r="S4609"/>
    </row>
    <row r="4610" spans="18:19" x14ac:dyDescent="0.25">
      <c r="R4610"/>
      <c r="S4610"/>
    </row>
    <row r="4611" spans="18:19" x14ac:dyDescent="0.25">
      <c r="R4611"/>
      <c r="S4611"/>
    </row>
    <row r="4612" spans="18:19" x14ac:dyDescent="0.25">
      <c r="R4612"/>
      <c r="S4612"/>
    </row>
    <row r="4613" spans="18:19" x14ac:dyDescent="0.25">
      <c r="R4613"/>
      <c r="S4613"/>
    </row>
    <row r="4614" spans="18:19" x14ac:dyDescent="0.25">
      <c r="R4614"/>
      <c r="S4614"/>
    </row>
    <row r="4615" spans="18:19" x14ac:dyDescent="0.25">
      <c r="R4615"/>
      <c r="S4615"/>
    </row>
    <row r="4616" spans="18:19" x14ac:dyDescent="0.25">
      <c r="R4616"/>
      <c r="S4616"/>
    </row>
    <row r="4617" spans="18:19" x14ac:dyDescent="0.25">
      <c r="R4617"/>
      <c r="S4617"/>
    </row>
    <row r="4618" spans="18:19" x14ac:dyDescent="0.25">
      <c r="R4618"/>
      <c r="S4618"/>
    </row>
    <row r="4619" spans="18:19" x14ac:dyDescent="0.25">
      <c r="R4619"/>
      <c r="S4619"/>
    </row>
    <row r="4620" spans="18:19" x14ac:dyDescent="0.25">
      <c r="R4620"/>
      <c r="S4620"/>
    </row>
    <row r="4621" spans="18:19" x14ac:dyDescent="0.25">
      <c r="R4621"/>
      <c r="S4621"/>
    </row>
    <row r="4622" spans="18:19" x14ac:dyDescent="0.25">
      <c r="R4622"/>
      <c r="S4622"/>
    </row>
    <row r="4623" spans="18:19" x14ac:dyDescent="0.25">
      <c r="R4623"/>
      <c r="S4623"/>
    </row>
    <row r="4624" spans="18:19" x14ac:dyDescent="0.25">
      <c r="R4624"/>
      <c r="S4624"/>
    </row>
    <row r="4625" spans="18:19" x14ac:dyDescent="0.25">
      <c r="R4625"/>
      <c r="S4625"/>
    </row>
    <row r="4626" spans="18:19" x14ac:dyDescent="0.25">
      <c r="R4626"/>
      <c r="S4626"/>
    </row>
    <row r="4627" spans="18:19" x14ac:dyDescent="0.25">
      <c r="R4627"/>
      <c r="S4627"/>
    </row>
    <row r="4628" spans="18:19" x14ac:dyDescent="0.25">
      <c r="R4628"/>
      <c r="S4628"/>
    </row>
    <row r="4629" spans="18:19" x14ac:dyDescent="0.25">
      <c r="R4629"/>
      <c r="S4629"/>
    </row>
    <row r="4630" spans="18:19" x14ac:dyDescent="0.25">
      <c r="R4630"/>
      <c r="S4630"/>
    </row>
    <row r="4631" spans="18:19" x14ac:dyDescent="0.25">
      <c r="R4631"/>
      <c r="S4631"/>
    </row>
    <row r="4632" spans="18:19" x14ac:dyDescent="0.25">
      <c r="R4632"/>
      <c r="S4632"/>
    </row>
    <row r="4633" spans="18:19" x14ac:dyDescent="0.25">
      <c r="R4633"/>
      <c r="S4633"/>
    </row>
    <row r="4634" spans="18:19" x14ac:dyDescent="0.25">
      <c r="R4634"/>
      <c r="S4634"/>
    </row>
    <row r="4635" spans="18:19" x14ac:dyDescent="0.25">
      <c r="R4635"/>
      <c r="S4635"/>
    </row>
    <row r="4636" spans="18:19" x14ac:dyDescent="0.25">
      <c r="R4636"/>
      <c r="S4636"/>
    </row>
    <row r="4637" spans="18:19" x14ac:dyDescent="0.25">
      <c r="R4637"/>
      <c r="S4637"/>
    </row>
    <row r="4638" spans="18:19" x14ac:dyDescent="0.25">
      <c r="R4638"/>
      <c r="S4638"/>
    </row>
    <row r="4639" spans="18:19" x14ac:dyDescent="0.25">
      <c r="R4639"/>
      <c r="S4639"/>
    </row>
    <row r="4640" spans="18:19" x14ac:dyDescent="0.25">
      <c r="R4640"/>
      <c r="S4640"/>
    </row>
    <row r="4641" spans="18:19" x14ac:dyDescent="0.25">
      <c r="R4641"/>
      <c r="S4641"/>
    </row>
    <row r="4642" spans="18:19" x14ac:dyDescent="0.25">
      <c r="R4642"/>
      <c r="S4642"/>
    </row>
    <row r="4643" spans="18:19" x14ac:dyDescent="0.25">
      <c r="R4643"/>
      <c r="S4643"/>
    </row>
    <row r="4644" spans="18:19" x14ac:dyDescent="0.25">
      <c r="R4644"/>
      <c r="S4644"/>
    </row>
    <row r="4645" spans="18:19" x14ac:dyDescent="0.25">
      <c r="R4645"/>
      <c r="S4645"/>
    </row>
    <row r="4646" spans="18:19" x14ac:dyDescent="0.25">
      <c r="R4646"/>
      <c r="S4646"/>
    </row>
    <row r="4647" spans="18:19" x14ac:dyDescent="0.25">
      <c r="R4647"/>
      <c r="S4647"/>
    </row>
    <row r="4648" spans="18:19" x14ac:dyDescent="0.25">
      <c r="R4648"/>
      <c r="S4648"/>
    </row>
    <row r="4649" spans="18:19" x14ac:dyDescent="0.25">
      <c r="R4649"/>
      <c r="S4649"/>
    </row>
    <row r="4650" spans="18:19" x14ac:dyDescent="0.25">
      <c r="R4650"/>
      <c r="S4650"/>
    </row>
    <row r="4651" spans="18:19" x14ac:dyDescent="0.25">
      <c r="R4651"/>
      <c r="S4651"/>
    </row>
    <row r="4652" spans="18:19" x14ac:dyDescent="0.25">
      <c r="R4652"/>
      <c r="S4652"/>
    </row>
    <row r="4653" spans="18:19" x14ac:dyDescent="0.25">
      <c r="R4653"/>
      <c r="S4653"/>
    </row>
    <row r="4654" spans="18:19" x14ac:dyDescent="0.25">
      <c r="R4654"/>
      <c r="S4654"/>
    </row>
    <row r="4655" spans="18:19" x14ac:dyDescent="0.25">
      <c r="R4655"/>
      <c r="S4655"/>
    </row>
    <row r="4656" spans="18:19" x14ac:dyDescent="0.25">
      <c r="R4656"/>
      <c r="S4656"/>
    </row>
    <row r="4657" spans="18:19" x14ac:dyDescent="0.25">
      <c r="R4657"/>
      <c r="S4657"/>
    </row>
    <row r="4658" spans="18:19" x14ac:dyDescent="0.25">
      <c r="R4658"/>
      <c r="S4658"/>
    </row>
    <row r="4659" spans="18:19" x14ac:dyDescent="0.25">
      <c r="R4659"/>
      <c r="S4659"/>
    </row>
    <row r="4660" spans="18:19" x14ac:dyDescent="0.25">
      <c r="R4660"/>
      <c r="S4660"/>
    </row>
    <row r="4661" spans="18:19" x14ac:dyDescent="0.25">
      <c r="R4661"/>
      <c r="S4661"/>
    </row>
    <row r="4662" spans="18:19" x14ac:dyDescent="0.25">
      <c r="R4662"/>
      <c r="S4662"/>
    </row>
    <row r="4663" spans="18:19" x14ac:dyDescent="0.25">
      <c r="R4663"/>
      <c r="S4663"/>
    </row>
    <row r="4664" spans="18:19" x14ac:dyDescent="0.25">
      <c r="R4664"/>
      <c r="S4664"/>
    </row>
    <row r="4665" spans="18:19" x14ac:dyDescent="0.25">
      <c r="R4665"/>
      <c r="S4665"/>
    </row>
    <row r="4666" spans="18:19" x14ac:dyDescent="0.25">
      <c r="R4666"/>
      <c r="S4666"/>
    </row>
    <row r="4667" spans="18:19" x14ac:dyDescent="0.25">
      <c r="R4667"/>
      <c r="S4667"/>
    </row>
    <row r="4668" spans="18:19" x14ac:dyDescent="0.25">
      <c r="R4668"/>
      <c r="S4668"/>
    </row>
    <row r="4669" spans="18:19" x14ac:dyDescent="0.25">
      <c r="R4669"/>
      <c r="S4669"/>
    </row>
    <row r="4670" spans="18:19" x14ac:dyDescent="0.25">
      <c r="R4670"/>
      <c r="S4670"/>
    </row>
    <row r="4671" spans="18:19" x14ac:dyDescent="0.25">
      <c r="R4671"/>
      <c r="S4671"/>
    </row>
    <row r="4672" spans="18:19" x14ac:dyDescent="0.25">
      <c r="R4672"/>
      <c r="S4672"/>
    </row>
    <row r="4673" spans="18:19" x14ac:dyDescent="0.25">
      <c r="R4673"/>
      <c r="S4673"/>
    </row>
    <row r="4674" spans="18:19" x14ac:dyDescent="0.25">
      <c r="R4674"/>
      <c r="S4674"/>
    </row>
    <row r="4675" spans="18:19" x14ac:dyDescent="0.25">
      <c r="R4675"/>
      <c r="S4675"/>
    </row>
    <row r="4676" spans="18:19" x14ac:dyDescent="0.25">
      <c r="R4676"/>
      <c r="S4676"/>
    </row>
    <row r="4677" spans="18:19" x14ac:dyDescent="0.25">
      <c r="R4677"/>
      <c r="S4677"/>
    </row>
    <row r="4678" spans="18:19" x14ac:dyDescent="0.25">
      <c r="R4678"/>
      <c r="S4678"/>
    </row>
    <row r="4679" spans="18:19" x14ac:dyDescent="0.25">
      <c r="R4679"/>
      <c r="S4679"/>
    </row>
    <row r="4680" spans="18:19" x14ac:dyDescent="0.25">
      <c r="R4680"/>
      <c r="S4680"/>
    </row>
    <row r="4681" spans="18:19" x14ac:dyDescent="0.25">
      <c r="R4681"/>
      <c r="S4681"/>
    </row>
    <row r="4682" spans="18:19" x14ac:dyDescent="0.25">
      <c r="R4682"/>
      <c r="S4682"/>
    </row>
    <row r="4683" spans="18:19" x14ac:dyDescent="0.25">
      <c r="R4683"/>
      <c r="S4683"/>
    </row>
    <row r="4684" spans="18:19" x14ac:dyDescent="0.25">
      <c r="R4684"/>
      <c r="S4684"/>
    </row>
    <row r="4685" spans="18:19" x14ac:dyDescent="0.25">
      <c r="R4685"/>
      <c r="S4685"/>
    </row>
    <row r="4686" spans="18:19" x14ac:dyDescent="0.25">
      <c r="R4686"/>
      <c r="S4686"/>
    </row>
    <row r="4687" spans="18:19" x14ac:dyDescent="0.25">
      <c r="R4687"/>
      <c r="S4687"/>
    </row>
    <row r="4688" spans="18:19" x14ac:dyDescent="0.25">
      <c r="R4688"/>
      <c r="S4688"/>
    </row>
    <row r="4689" spans="18:19" x14ac:dyDescent="0.25">
      <c r="R4689"/>
      <c r="S4689"/>
    </row>
    <row r="4690" spans="18:19" x14ac:dyDescent="0.25">
      <c r="R4690"/>
      <c r="S4690"/>
    </row>
    <row r="4691" spans="18:19" x14ac:dyDescent="0.25">
      <c r="R4691"/>
      <c r="S4691"/>
    </row>
    <row r="4692" spans="18:19" x14ac:dyDescent="0.25">
      <c r="R4692"/>
      <c r="S4692"/>
    </row>
    <row r="4693" spans="18:19" x14ac:dyDescent="0.25">
      <c r="R4693"/>
      <c r="S4693"/>
    </row>
    <row r="4694" spans="18:19" x14ac:dyDescent="0.25">
      <c r="R4694"/>
      <c r="S4694"/>
    </row>
    <row r="4695" spans="18:19" x14ac:dyDescent="0.25">
      <c r="R4695"/>
      <c r="S4695"/>
    </row>
    <row r="4696" spans="18:19" x14ac:dyDescent="0.25">
      <c r="R4696"/>
      <c r="S4696"/>
    </row>
    <row r="4697" spans="18:19" x14ac:dyDescent="0.25">
      <c r="R4697"/>
      <c r="S4697"/>
    </row>
    <row r="4698" spans="18:19" x14ac:dyDescent="0.25">
      <c r="R4698"/>
      <c r="S4698"/>
    </row>
    <row r="4699" spans="18:19" x14ac:dyDescent="0.25">
      <c r="R4699"/>
      <c r="S4699"/>
    </row>
    <row r="4700" spans="18:19" x14ac:dyDescent="0.25">
      <c r="R4700"/>
      <c r="S4700"/>
    </row>
    <row r="4701" spans="18:19" x14ac:dyDescent="0.25">
      <c r="R4701"/>
      <c r="S4701"/>
    </row>
    <row r="4702" spans="18:19" x14ac:dyDescent="0.25">
      <c r="R4702"/>
      <c r="S4702"/>
    </row>
    <row r="4703" spans="18:19" x14ac:dyDescent="0.25">
      <c r="R4703"/>
      <c r="S4703"/>
    </row>
    <row r="4704" spans="18:19" x14ac:dyDescent="0.25">
      <c r="R4704"/>
      <c r="S4704"/>
    </row>
    <row r="4705" spans="18:19" x14ac:dyDescent="0.25">
      <c r="R4705"/>
      <c r="S4705"/>
    </row>
    <row r="4706" spans="18:19" x14ac:dyDescent="0.25">
      <c r="R4706"/>
      <c r="S4706"/>
    </row>
    <row r="4707" spans="18:19" x14ac:dyDescent="0.25">
      <c r="R4707"/>
      <c r="S4707"/>
    </row>
    <row r="4708" spans="18:19" x14ac:dyDescent="0.25">
      <c r="R4708"/>
      <c r="S4708"/>
    </row>
    <row r="4709" spans="18:19" x14ac:dyDescent="0.25">
      <c r="R4709"/>
      <c r="S4709"/>
    </row>
    <row r="4710" spans="18:19" x14ac:dyDescent="0.25">
      <c r="R4710"/>
      <c r="S4710"/>
    </row>
    <row r="4711" spans="18:19" x14ac:dyDescent="0.25">
      <c r="R4711"/>
      <c r="S4711"/>
    </row>
    <row r="4712" spans="18:19" x14ac:dyDescent="0.25">
      <c r="R4712"/>
      <c r="S4712"/>
    </row>
    <row r="4713" spans="18:19" x14ac:dyDescent="0.25">
      <c r="R4713"/>
      <c r="S4713"/>
    </row>
    <row r="4714" spans="18:19" x14ac:dyDescent="0.25">
      <c r="R4714"/>
      <c r="S4714"/>
    </row>
    <row r="4715" spans="18:19" x14ac:dyDescent="0.25">
      <c r="R4715"/>
      <c r="S4715"/>
    </row>
    <row r="4716" spans="18:19" x14ac:dyDescent="0.25">
      <c r="R4716"/>
      <c r="S4716"/>
    </row>
    <row r="4717" spans="18:19" x14ac:dyDescent="0.25">
      <c r="R4717"/>
      <c r="S4717"/>
    </row>
    <row r="4718" spans="18:19" x14ac:dyDescent="0.25">
      <c r="R4718"/>
      <c r="S4718"/>
    </row>
    <row r="4719" spans="18:19" x14ac:dyDescent="0.25">
      <c r="R4719"/>
      <c r="S4719"/>
    </row>
    <row r="4720" spans="18:19" x14ac:dyDescent="0.25">
      <c r="R4720"/>
      <c r="S4720"/>
    </row>
    <row r="4721" spans="18:19" x14ac:dyDescent="0.25">
      <c r="R4721"/>
      <c r="S4721"/>
    </row>
    <row r="4722" spans="18:19" x14ac:dyDescent="0.25">
      <c r="R4722"/>
      <c r="S4722"/>
    </row>
    <row r="4723" spans="18:19" x14ac:dyDescent="0.25">
      <c r="R4723"/>
      <c r="S4723"/>
    </row>
    <row r="4724" spans="18:19" x14ac:dyDescent="0.25">
      <c r="R4724"/>
      <c r="S4724"/>
    </row>
    <row r="4725" spans="18:19" x14ac:dyDescent="0.25">
      <c r="R4725"/>
      <c r="S4725"/>
    </row>
    <row r="4726" spans="18:19" x14ac:dyDescent="0.25">
      <c r="R4726"/>
      <c r="S4726"/>
    </row>
    <row r="4727" spans="18:19" x14ac:dyDescent="0.25">
      <c r="R4727"/>
      <c r="S4727"/>
    </row>
    <row r="4728" spans="18:19" x14ac:dyDescent="0.25">
      <c r="R4728"/>
      <c r="S4728"/>
    </row>
    <row r="4729" spans="18:19" x14ac:dyDescent="0.25">
      <c r="R4729"/>
      <c r="S4729"/>
    </row>
    <row r="4730" spans="18:19" x14ac:dyDescent="0.25">
      <c r="R4730"/>
      <c r="S4730"/>
    </row>
    <row r="4731" spans="18:19" x14ac:dyDescent="0.25">
      <c r="R4731"/>
      <c r="S4731"/>
    </row>
    <row r="4732" spans="18:19" x14ac:dyDescent="0.25">
      <c r="R4732"/>
      <c r="S4732"/>
    </row>
    <row r="4733" spans="18:19" x14ac:dyDescent="0.25">
      <c r="R4733"/>
      <c r="S4733"/>
    </row>
    <row r="4734" spans="18:19" x14ac:dyDescent="0.25">
      <c r="R4734"/>
      <c r="S4734"/>
    </row>
    <row r="4735" spans="18:19" x14ac:dyDescent="0.25">
      <c r="R4735"/>
      <c r="S4735"/>
    </row>
    <row r="4736" spans="18:19" x14ac:dyDescent="0.25">
      <c r="R4736"/>
      <c r="S4736"/>
    </row>
    <row r="4737" spans="18:19" x14ac:dyDescent="0.25">
      <c r="R4737"/>
      <c r="S4737"/>
    </row>
    <row r="4738" spans="18:19" x14ac:dyDescent="0.25">
      <c r="R4738"/>
      <c r="S4738"/>
    </row>
    <row r="4739" spans="18:19" x14ac:dyDescent="0.25">
      <c r="R4739"/>
      <c r="S4739"/>
    </row>
    <row r="4740" spans="18:19" x14ac:dyDescent="0.25">
      <c r="R4740"/>
      <c r="S4740"/>
    </row>
    <row r="4741" spans="18:19" x14ac:dyDescent="0.25">
      <c r="R4741"/>
      <c r="S4741"/>
    </row>
    <row r="4742" spans="18:19" x14ac:dyDescent="0.25">
      <c r="R4742"/>
      <c r="S4742"/>
    </row>
    <row r="4743" spans="18:19" x14ac:dyDescent="0.25">
      <c r="R4743"/>
      <c r="S4743"/>
    </row>
    <row r="4744" spans="18:19" x14ac:dyDescent="0.25">
      <c r="R4744"/>
      <c r="S4744"/>
    </row>
    <row r="4745" spans="18:19" x14ac:dyDescent="0.25">
      <c r="R4745"/>
      <c r="S4745"/>
    </row>
    <row r="4746" spans="18:19" x14ac:dyDescent="0.25">
      <c r="R4746"/>
      <c r="S4746"/>
    </row>
    <row r="4747" spans="18:19" x14ac:dyDescent="0.25">
      <c r="R4747"/>
      <c r="S4747"/>
    </row>
    <row r="4748" spans="18:19" x14ac:dyDescent="0.25">
      <c r="R4748"/>
      <c r="S4748"/>
    </row>
    <row r="4749" spans="18:19" x14ac:dyDescent="0.25">
      <c r="R4749"/>
      <c r="S4749"/>
    </row>
    <row r="4750" spans="18:19" x14ac:dyDescent="0.25">
      <c r="R4750"/>
      <c r="S4750"/>
    </row>
    <row r="4751" spans="18:19" x14ac:dyDescent="0.25">
      <c r="R4751"/>
      <c r="S4751"/>
    </row>
    <row r="4752" spans="18:19" x14ac:dyDescent="0.25">
      <c r="R4752"/>
      <c r="S4752"/>
    </row>
    <row r="4753" spans="18:19" x14ac:dyDescent="0.25">
      <c r="R4753"/>
      <c r="S4753"/>
    </row>
    <row r="4754" spans="18:19" x14ac:dyDescent="0.25">
      <c r="R4754"/>
      <c r="S4754"/>
    </row>
    <row r="4755" spans="18:19" x14ac:dyDescent="0.25">
      <c r="R4755"/>
      <c r="S4755"/>
    </row>
    <row r="4756" spans="18:19" x14ac:dyDescent="0.25">
      <c r="R4756"/>
      <c r="S4756"/>
    </row>
    <row r="4757" spans="18:19" x14ac:dyDescent="0.25">
      <c r="R4757"/>
      <c r="S4757"/>
    </row>
    <row r="4758" spans="18:19" x14ac:dyDescent="0.25">
      <c r="R4758"/>
      <c r="S4758"/>
    </row>
    <row r="4759" spans="18:19" x14ac:dyDescent="0.25">
      <c r="R4759"/>
      <c r="S4759"/>
    </row>
    <row r="4760" spans="18:19" x14ac:dyDescent="0.25">
      <c r="R4760"/>
      <c r="S4760"/>
    </row>
    <row r="4761" spans="18:19" x14ac:dyDescent="0.25">
      <c r="R4761"/>
      <c r="S4761"/>
    </row>
    <row r="4762" spans="18:19" x14ac:dyDescent="0.25">
      <c r="R4762"/>
      <c r="S4762"/>
    </row>
    <row r="4763" spans="18:19" x14ac:dyDescent="0.25">
      <c r="R4763"/>
      <c r="S4763"/>
    </row>
    <row r="4764" spans="18:19" x14ac:dyDescent="0.25">
      <c r="R4764"/>
      <c r="S4764"/>
    </row>
    <row r="4765" spans="18:19" x14ac:dyDescent="0.25">
      <c r="R4765"/>
      <c r="S4765"/>
    </row>
    <row r="4766" spans="18:19" x14ac:dyDescent="0.25">
      <c r="R4766"/>
      <c r="S4766"/>
    </row>
    <row r="4767" spans="18:19" x14ac:dyDescent="0.25">
      <c r="R4767"/>
      <c r="S4767"/>
    </row>
    <row r="4768" spans="18:19" x14ac:dyDescent="0.25">
      <c r="R4768"/>
      <c r="S4768"/>
    </row>
    <row r="4769" spans="18:19" x14ac:dyDescent="0.25">
      <c r="R4769"/>
      <c r="S4769"/>
    </row>
    <row r="4770" spans="18:19" x14ac:dyDescent="0.25">
      <c r="R4770"/>
      <c r="S4770"/>
    </row>
    <row r="4771" spans="18:19" x14ac:dyDescent="0.25">
      <c r="R4771"/>
      <c r="S4771"/>
    </row>
    <row r="4772" spans="18:19" x14ac:dyDescent="0.25">
      <c r="R4772"/>
      <c r="S4772"/>
    </row>
    <row r="4773" spans="18:19" x14ac:dyDescent="0.25">
      <c r="R4773"/>
      <c r="S4773"/>
    </row>
    <row r="4774" spans="18:19" x14ac:dyDescent="0.25">
      <c r="R4774"/>
      <c r="S4774"/>
    </row>
    <row r="4775" spans="18:19" x14ac:dyDescent="0.25">
      <c r="R4775"/>
      <c r="S4775"/>
    </row>
    <row r="4776" spans="18:19" x14ac:dyDescent="0.25">
      <c r="R4776"/>
      <c r="S4776"/>
    </row>
    <row r="4777" spans="18:19" x14ac:dyDescent="0.25">
      <c r="R4777"/>
      <c r="S4777"/>
    </row>
    <row r="4778" spans="18:19" x14ac:dyDescent="0.25">
      <c r="R4778"/>
      <c r="S4778"/>
    </row>
    <row r="4779" spans="18:19" x14ac:dyDescent="0.25">
      <c r="R4779"/>
      <c r="S4779"/>
    </row>
    <row r="4780" spans="18:19" x14ac:dyDescent="0.25">
      <c r="R4780"/>
      <c r="S4780"/>
    </row>
    <row r="4781" spans="18:19" x14ac:dyDescent="0.25">
      <c r="R4781"/>
      <c r="S4781"/>
    </row>
    <row r="4782" spans="18:19" x14ac:dyDescent="0.25">
      <c r="R4782"/>
      <c r="S4782"/>
    </row>
    <row r="4783" spans="18:19" x14ac:dyDescent="0.25">
      <c r="R4783"/>
      <c r="S4783"/>
    </row>
    <row r="4784" spans="18:19" x14ac:dyDescent="0.25">
      <c r="R4784"/>
      <c r="S4784"/>
    </row>
    <row r="4785" spans="18:19" x14ac:dyDescent="0.25">
      <c r="R4785"/>
      <c r="S4785"/>
    </row>
    <row r="4786" spans="18:19" x14ac:dyDescent="0.25">
      <c r="R4786"/>
      <c r="S4786"/>
    </row>
    <row r="4787" spans="18:19" x14ac:dyDescent="0.25">
      <c r="R4787"/>
      <c r="S4787"/>
    </row>
    <row r="4788" spans="18:19" x14ac:dyDescent="0.25">
      <c r="R4788"/>
      <c r="S4788"/>
    </row>
    <row r="4789" spans="18:19" x14ac:dyDescent="0.25">
      <c r="R4789"/>
      <c r="S4789"/>
    </row>
    <row r="4790" spans="18:19" x14ac:dyDescent="0.25">
      <c r="R4790"/>
      <c r="S4790"/>
    </row>
    <row r="4791" spans="18:19" x14ac:dyDescent="0.25">
      <c r="R4791"/>
      <c r="S4791"/>
    </row>
    <row r="4792" spans="18:19" x14ac:dyDescent="0.25">
      <c r="R4792"/>
      <c r="S4792"/>
    </row>
    <row r="4793" spans="18:19" x14ac:dyDescent="0.25">
      <c r="R4793"/>
      <c r="S4793"/>
    </row>
    <row r="4794" spans="18:19" x14ac:dyDescent="0.25">
      <c r="R4794"/>
      <c r="S4794"/>
    </row>
    <row r="4795" spans="18:19" x14ac:dyDescent="0.25">
      <c r="R4795"/>
      <c r="S4795"/>
    </row>
    <row r="4796" spans="18:19" x14ac:dyDescent="0.25">
      <c r="R4796"/>
      <c r="S4796"/>
    </row>
    <row r="4797" spans="18:19" x14ac:dyDescent="0.25">
      <c r="R4797"/>
      <c r="S4797"/>
    </row>
    <row r="4798" spans="18:19" x14ac:dyDescent="0.25">
      <c r="R4798"/>
      <c r="S4798"/>
    </row>
    <row r="4799" spans="18:19" x14ac:dyDescent="0.25">
      <c r="R4799"/>
      <c r="S4799"/>
    </row>
    <row r="4800" spans="18:19" x14ac:dyDescent="0.25">
      <c r="R4800"/>
      <c r="S4800"/>
    </row>
    <row r="4801" spans="18:19" x14ac:dyDescent="0.25">
      <c r="R4801"/>
      <c r="S4801"/>
    </row>
    <row r="4802" spans="18:19" x14ac:dyDescent="0.25">
      <c r="R4802"/>
      <c r="S4802"/>
    </row>
    <row r="4803" spans="18:19" x14ac:dyDescent="0.25">
      <c r="R4803"/>
      <c r="S4803"/>
    </row>
    <row r="4804" spans="18:19" x14ac:dyDescent="0.25">
      <c r="R4804"/>
      <c r="S4804"/>
    </row>
    <row r="4805" spans="18:19" x14ac:dyDescent="0.25">
      <c r="R4805"/>
      <c r="S4805"/>
    </row>
    <row r="4806" spans="18:19" x14ac:dyDescent="0.25">
      <c r="R4806"/>
      <c r="S4806"/>
    </row>
    <row r="4807" spans="18:19" x14ac:dyDescent="0.25">
      <c r="R4807"/>
      <c r="S4807"/>
    </row>
    <row r="4808" spans="18:19" x14ac:dyDescent="0.25">
      <c r="R4808"/>
      <c r="S4808"/>
    </row>
    <row r="4809" spans="18:19" x14ac:dyDescent="0.25">
      <c r="R4809"/>
      <c r="S4809"/>
    </row>
    <row r="4810" spans="18:19" x14ac:dyDescent="0.25">
      <c r="R4810"/>
      <c r="S4810"/>
    </row>
    <row r="4811" spans="18:19" x14ac:dyDescent="0.25">
      <c r="R4811"/>
      <c r="S4811"/>
    </row>
    <row r="4812" spans="18:19" x14ac:dyDescent="0.25">
      <c r="R4812"/>
      <c r="S4812"/>
    </row>
    <row r="4813" spans="18:19" x14ac:dyDescent="0.25">
      <c r="R4813"/>
      <c r="S4813"/>
    </row>
    <row r="4814" spans="18:19" x14ac:dyDescent="0.25">
      <c r="R4814"/>
      <c r="S4814"/>
    </row>
    <row r="4815" spans="18:19" x14ac:dyDescent="0.25">
      <c r="R4815"/>
      <c r="S4815"/>
    </row>
    <row r="4816" spans="18:19" x14ac:dyDescent="0.25">
      <c r="R4816"/>
      <c r="S4816"/>
    </row>
    <row r="4817" spans="18:19" x14ac:dyDescent="0.25">
      <c r="R4817"/>
      <c r="S4817"/>
    </row>
    <row r="4818" spans="18:19" x14ac:dyDescent="0.25">
      <c r="R4818"/>
      <c r="S4818"/>
    </row>
    <row r="4819" spans="18:19" x14ac:dyDescent="0.25">
      <c r="R4819"/>
      <c r="S4819"/>
    </row>
    <row r="4820" spans="18:19" x14ac:dyDescent="0.25">
      <c r="R4820"/>
      <c r="S4820"/>
    </row>
    <row r="4821" spans="18:19" x14ac:dyDescent="0.25">
      <c r="R4821"/>
      <c r="S4821"/>
    </row>
    <row r="4822" spans="18:19" x14ac:dyDescent="0.25">
      <c r="R4822"/>
      <c r="S4822"/>
    </row>
    <row r="4823" spans="18:19" x14ac:dyDescent="0.25">
      <c r="R4823"/>
      <c r="S4823"/>
    </row>
    <row r="4824" spans="18:19" x14ac:dyDescent="0.25">
      <c r="R4824"/>
      <c r="S4824"/>
    </row>
    <row r="4825" spans="18:19" x14ac:dyDescent="0.25">
      <c r="R4825"/>
      <c r="S4825"/>
    </row>
    <row r="4826" spans="18:19" x14ac:dyDescent="0.25">
      <c r="R4826"/>
      <c r="S4826"/>
    </row>
    <row r="4827" spans="18:19" x14ac:dyDescent="0.25">
      <c r="R4827"/>
      <c r="S4827"/>
    </row>
    <row r="4828" spans="18:19" x14ac:dyDescent="0.25">
      <c r="R4828"/>
      <c r="S4828"/>
    </row>
    <row r="4829" spans="18:19" x14ac:dyDescent="0.25">
      <c r="R4829"/>
      <c r="S4829"/>
    </row>
    <row r="4830" spans="18:19" x14ac:dyDescent="0.25">
      <c r="R4830"/>
      <c r="S4830"/>
    </row>
    <row r="4831" spans="18:19" x14ac:dyDescent="0.25">
      <c r="R4831"/>
      <c r="S4831"/>
    </row>
    <row r="4832" spans="18:19" x14ac:dyDescent="0.25">
      <c r="R4832"/>
      <c r="S4832"/>
    </row>
    <row r="4833" spans="18:19" x14ac:dyDescent="0.25">
      <c r="R4833"/>
      <c r="S4833"/>
    </row>
    <row r="4834" spans="18:19" x14ac:dyDescent="0.25">
      <c r="R4834"/>
      <c r="S4834"/>
    </row>
    <row r="4835" spans="18:19" x14ac:dyDescent="0.25">
      <c r="R4835"/>
      <c r="S4835"/>
    </row>
    <row r="4836" spans="18:19" x14ac:dyDescent="0.25">
      <c r="R4836"/>
      <c r="S4836"/>
    </row>
    <row r="4837" spans="18:19" x14ac:dyDescent="0.25">
      <c r="R4837"/>
      <c r="S4837"/>
    </row>
    <row r="4838" spans="18:19" x14ac:dyDescent="0.25">
      <c r="R4838"/>
      <c r="S4838"/>
    </row>
    <row r="4839" spans="18:19" x14ac:dyDescent="0.25">
      <c r="R4839"/>
      <c r="S4839"/>
    </row>
    <row r="4840" spans="18:19" x14ac:dyDescent="0.25">
      <c r="R4840"/>
      <c r="S4840"/>
    </row>
    <row r="4841" spans="18:19" x14ac:dyDescent="0.25">
      <c r="R4841"/>
      <c r="S4841"/>
    </row>
    <row r="4842" spans="18:19" x14ac:dyDescent="0.25">
      <c r="R4842"/>
      <c r="S4842"/>
    </row>
    <row r="4843" spans="18:19" x14ac:dyDescent="0.25">
      <c r="R4843"/>
      <c r="S4843"/>
    </row>
    <row r="4844" spans="18:19" x14ac:dyDescent="0.25">
      <c r="R4844"/>
      <c r="S4844"/>
    </row>
    <row r="4845" spans="18:19" x14ac:dyDescent="0.25">
      <c r="R4845"/>
      <c r="S4845"/>
    </row>
    <row r="4846" spans="18:19" x14ac:dyDescent="0.25">
      <c r="R4846"/>
      <c r="S4846"/>
    </row>
    <row r="4847" spans="18:19" x14ac:dyDescent="0.25">
      <c r="R4847"/>
      <c r="S4847"/>
    </row>
    <row r="4848" spans="18:19" x14ac:dyDescent="0.25">
      <c r="R4848"/>
      <c r="S4848"/>
    </row>
    <row r="4849" spans="18:19" x14ac:dyDescent="0.25">
      <c r="R4849"/>
      <c r="S4849"/>
    </row>
    <row r="4850" spans="18:19" x14ac:dyDescent="0.25">
      <c r="R4850"/>
      <c r="S4850"/>
    </row>
    <row r="4851" spans="18:19" x14ac:dyDescent="0.25">
      <c r="R4851"/>
      <c r="S4851"/>
    </row>
    <row r="4852" spans="18:19" x14ac:dyDescent="0.25">
      <c r="R4852"/>
      <c r="S4852"/>
    </row>
    <row r="4853" spans="18:19" x14ac:dyDescent="0.25">
      <c r="R4853"/>
      <c r="S4853"/>
    </row>
    <row r="4854" spans="18:19" x14ac:dyDescent="0.25">
      <c r="R4854"/>
      <c r="S4854"/>
    </row>
    <row r="4855" spans="18:19" x14ac:dyDescent="0.25">
      <c r="R4855"/>
      <c r="S4855"/>
    </row>
    <row r="4856" spans="18:19" x14ac:dyDescent="0.25">
      <c r="R4856"/>
      <c r="S4856"/>
    </row>
    <row r="4857" spans="18:19" x14ac:dyDescent="0.25">
      <c r="R4857"/>
      <c r="S4857"/>
    </row>
    <row r="4858" spans="18:19" x14ac:dyDescent="0.25">
      <c r="R4858"/>
      <c r="S4858"/>
    </row>
    <row r="4859" spans="18:19" x14ac:dyDescent="0.25">
      <c r="R4859"/>
      <c r="S4859"/>
    </row>
    <row r="4860" spans="18:19" x14ac:dyDescent="0.25">
      <c r="R4860"/>
      <c r="S4860"/>
    </row>
    <row r="4861" spans="18:19" x14ac:dyDescent="0.25">
      <c r="R4861"/>
      <c r="S4861"/>
    </row>
    <row r="4862" spans="18:19" x14ac:dyDescent="0.25">
      <c r="R4862"/>
      <c r="S4862"/>
    </row>
    <row r="4863" spans="18:19" x14ac:dyDescent="0.25">
      <c r="R4863"/>
      <c r="S4863"/>
    </row>
    <row r="4864" spans="18:19" x14ac:dyDescent="0.25">
      <c r="R4864"/>
      <c r="S4864"/>
    </row>
    <row r="4865" spans="18:19" x14ac:dyDescent="0.25">
      <c r="R4865"/>
      <c r="S4865"/>
    </row>
    <row r="4866" spans="18:19" x14ac:dyDescent="0.25">
      <c r="R4866"/>
      <c r="S4866"/>
    </row>
    <row r="4867" spans="18:19" x14ac:dyDescent="0.25">
      <c r="R4867"/>
      <c r="S4867"/>
    </row>
    <row r="4868" spans="18:19" x14ac:dyDescent="0.25">
      <c r="R4868"/>
      <c r="S4868"/>
    </row>
    <row r="4869" spans="18:19" x14ac:dyDescent="0.25">
      <c r="R4869"/>
      <c r="S4869"/>
    </row>
    <row r="4870" spans="18:19" x14ac:dyDescent="0.25">
      <c r="R4870"/>
      <c r="S4870"/>
    </row>
    <row r="4871" spans="18:19" x14ac:dyDescent="0.25">
      <c r="R4871"/>
      <c r="S4871"/>
    </row>
    <row r="4872" spans="18:19" x14ac:dyDescent="0.25">
      <c r="R4872"/>
      <c r="S4872"/>
    </row>
    <row r="4873" spans="18:19" x14ac:dyDescent="0.25">
      <c r="R4873"/>
      <c r="S4873"/>
    </row>
    <row r="4874" spans="18:19" x14ac:dyDescent="0.25">
      <c r="R4874"/>
      <c r="S4874"/>
    </row>
    <row r="4875" spans="18:19" x14ac:dyDescent="0.25">
      <c r="R4875"/>
      <c r="S4875"/>
    </row>
    <row r="4876" spans="18:19" x14ac:dyDescent="0.25">
      <c r="R4876"/>
      <c r="S4876"/>
    </row>
    <row r="4877" spans="18:19" x14ac:dyDescent="0.25">
      <c r="R4877"/>
      <c r="S4877"/>
    </row>
    <row r="4878" spans="18:19" x14ac:dyDescent="0.25">
      <c r="R4878"/>
      <c r="S4878"/>
    </row>
    <row r="4879" spans="18:19" x14ac:dyDescent="0.25">
      <c r="R4879"/>
      <c r="S4879"/>
    </row>
    <row r="4880" spans="18:19" x14ac:dyDescent="0.25">
      <c r="R4880"/>
      <c r="S4880"/>
    </row>
    <row r="4881" spans="18:19" x14ac:dyDescent="0.25">
      <c r="R4881"/>
      <c r="S4881"/>
    </row>
    <row r="4882" spans="18:19" x14ac:dyDescent="0.25">
      <c r="R4882"/>
      <c r="S4882"/>
    </row>
    <row r="4883" spans="18:19" x14ac:dyDescent="0.25">
      <c r="R4883"/>
      <c r="S4883"/>
    </row>
    <row r="4884" spans="18:19" x14ac:dyDescent="0.25">
      <c r="R4884"/>
      <c r="S4884"/>
    </row>
    <row r="4885" spans="18:19" x14ac:dyDescent="0.25">
      <c r="R4885"/>
      <c r="S4885"/>
    </row>
    <row r="4886" spans="18:19" x14ac:dyDescent="0.25">
      <c r="R4886"/>
      <c r="S4886"/>
    </row>
    <row r="4887" spans="18:19" x14ac:dyDescent="0.25">
      <c r="R4887"/>
      <c r="S4887"/>
    </row>
    <row r="4888" spans="18:19" x14ac:dyDescent="0.25">
      <c r="R4888"/>
      <c r="S4888"/>
    </row>
    <row r="4889" spans="18:19" x14ac:dyDescent="0.25">
      <c r="R4889"/>
      <c r="S4889"/>
    </row>
    <row r="4890" spans="18:19" x14ac:dyDescent="0.25">
      <c r="R4890"/>
      <c r="S4890"/>
    </row>
    <row r="4891" spans="18:19" x14ac:dyDescent="0.25">
      <c r="R4891"/>
      <c r="S4891"/>
    </row>
    <row r="4892" spans="18:19" x14ac:dyDescent="0.25">
      <c r="R4892"/>
      <c r="S4892"/>
    </row>
    <row r="4893" spans="18:19" x14ac:dyDescent="0.25">
      <c r="R4893"/>
      <c r="S4893"/>
    </row>
    <row r="4894" spans="18:19" x14ac:dyDescent="0.25">
      <c r="R4894"/>
      <c r="S4894"/>
    </row>
    <row r="4895" spans="18:19" x14ac:dyDescent="0.25">
      <c r="R4895"/>
      <c r="S4895"/>
    </row>
    <row r="4896" spans="18:19" x14ac:dyDescent="0.25">
      <c r="R4896"/>
      <c r="S4896"/>
    </row>
    <row r="4897" spans="18:19" x14ac:dyDescent="0.25">
      <c r="R4897"/>
      <c r="S4897"/>
    </row>
    <row r="4898" spans="18:19" x14ac:dyDescent="0.25">
      <c r="R4898"/>
      <c r="S4898"/>
    </row>
    <row r="4899" spans="18:19" x14ac:dyDescent="0.25">
      <c r="R4899"/>
      <c r="S4899"/>
    </row>
    <row r="4900" spans="18:19" x14ac:dyDescent="0.25">
      <c r="R4900"/>
      <c r="S4900"/>
    </row>
    <row r="4901" spans="18:19" x14ac:dyDescent="0.25">
      <c r="R4901"/>
      <c r="S4901"/>
    </row>
    <row r="4902" spans="18:19" x14ac:dyDescent="0.25">
      <c r="R4902"/>
      <c r="S4902"/>
    </row>
    <row r="4903" spans="18:19" x14ac:dyDescent="0.25">
      <c r="R4903"/>
      <c r="S4903"/>
    </row>
    <row r="4904" spans="18:19" x14ac:dyDescent="0.25">
      <c r="R4904"/>
      <c r="S4904"/>
    </row>
    <row r="4905" spans="18:19" x14ac:dyDescent="0.25">
      <c r="R4905"/>
      <c r="S4905"/>
    </row>
    <row r="4906" spans="18:19" x14ac:dyDescent="0.25">
      <c r="R4906"/>
      <c r="S4906"/>
    </row>
    <row r="4907" spans="18:19" x14ac:dyDescent="0.25">
      <c r="R4907"/>
      <c r="S4907"/>
    </row>
    <row r="4908" spans="18:19" x14ac:dyDescent="0.25">
      <c r="R4908"/>
      <c r="S4908"/>
    </row>
    <row r="4909" spans="18:19" x14ac:dyDescent="0.25">
      <c r="R4909"/>
      <c r="S4909"/>
    </row>
    <row r="4910" spans="18:19" x14ac:dyDescent="0.25">
      <c r="R4910"/>
      <c r="S4910"/>
    </row>
    <row r="4911" spans="18:19" x14ac:dyDescent="0.25">
      <c r="R4911"/>
      <c r="S4911"/>
    </row>
    <row r="4912" spans="18:19" x14ac:dyDescent="0.25">
      <c r="R4912"/>
      <c r="S4912"/>
    </row>
    <row r="4913" spans="18:19" x14ac:dyDescent="0.25">
      <c r="R4913"/>
      <c r="S4913"/>
    </row>
    <row r="4914" spans="18:19" x14ac:dyDescent="0.25">
      <c r="R4914"/>
      <c r="S4914"/>
    </row>
    <row r="4915" spans="18:19" x14ac:dyDescent="0.25">
      <c r="R4915"/>
      <c r="S4915"/>
    </row>
    <row r="4916" spans="18:19" x14ac:dyDescent="0.25">
      <c r="R4916"/>
      <c r="S4916"/>
    </row>
    <row r="4917" spans="18:19" x14ac:dyDescent="0.25">
      <c r="R4917"/>
      <c r="S4917"/>
    </row>
    <row r="4918" spans="18:19" x14ac:dyDescent="0.25">
      <c r="R4918"/>
      <c r="S4918"/>
    </row>
    <row r="4919" spans="18:19" x14ac:dyDescent="0.25">
      <c r="R4919"/>
      <c r="S4919"/>
    </row>
    <row r="4920" spans="18:19" x14ac:dyDescent="0.25">
      <c r="R4920"/>
      <c r="S4920"/>
    </row>
    <row r="4921" spans="18:19" x14ac:dyDescent="0.25">
      <c r="R4921"/>
      <c r="S4921"/>
    </row>
    <row r="4922" spans="18:19" x14ac:dyDescent="0.25">
      <c r="R4922"/>
      <c r="S4922"/>
    </row>
    <row r="4923" spans="18:19" x14ac:dyDescent="0.25">
      <c r="R4923"/>
      <c r="S4923"/>
    </row>
    <row r="4924" spans="18:19" x14ac:dyDescent="0.25">
      <c r="R4924"/>
      <c r="S4924"/>
    </row>
    <row r="4925" spans="18:19" x14ac:dyDescent="0.25">
      <c r="R4925"/>
      <c r="S4925"/>
    </row>
    <row r="4926" spans="18:19" x14ac:dyDescent="0.25">
      <c r="R4926"/>
      <c r="S4926"/>
    </row>
    <row r="4927" spans="18:19" x14ac:dyDescent="0.25">
      <c r="R4927"/>
      <c r="S4927"/>
    </row>
    <row r="4928" spans="18:19" x14ac:dyDescent="0.25">
      <c r="R4928"/>
      <c r="S4928"/>
    </row>
    <row r="4929" spans="18:19" x14ac:dyDescent="0.25">
      <c r="R4929"/>
      <c r="S4929"/>
    </row>
    <row r="4930" spans="18:19" x14ac:dyDescent="0.25">
      <c r="R4930"/>
      <c r="S4930"/>
    </row>
    <row r="4931" spans="18:19" x14ac:dyDescent="0.25">
      <c r="R4931"/>
      <c r="S4931"/>
    </row>
    <row r="4932" spans="18:19" x14ac:dyDescent="0.25">
      <c r="R4932"/>
      <c r="S4932"/>
    </row>
    <row r="4933" spans="18:19" x14ac:dyDescent="0.25">
      <c r="R4933"/>
      <c r="S4933"/>
    </row>
    <row r="4934" spans="18:19" x14ac:dyDescent="0.25">
      <c r="R4934"/>
      <c r="S4934"/>
    </row>
    <row r="4935" spans="18:19" x14ac:dyDescent="0.25">
      <c r="R4935"/>
      <c r="S4935"/>
    </row>
    <row r="4936" spans="18:19" x14ac:dyDescent="0.25">
      <c r="R4936"/>
      <c r="S4936"/>
    </row>
    <row r="4937" spans="18:19" x14ac:dyDescent="0.25">
      <c r="R4937"/>
      <c r="S4937"/>
    </row>
    <row r="4938" spans="18:19" x14ac:dyDescent="0.25">
      <c r="R4938"/>
      <c r="S4938"/>
    </row>
    <row r="4939" spans="18:19" x14ac:dyDescent="0.25">
      <c r="R4939"/>
      <c r="S4939"/>
    </row>
    <row r="4940" spans="18:19" x14ac:dyDescent="0.25">
      <c r="R4940"/>
      <c r="S4940"/>
    </row>
    <row r="4941" spans="18:19" x14ac:dyDescent="0.25">
      <c r="R4941"/>
      <c r="S4941"/>
    </row>
    <row r="4942" spans="18:19" x14ac:dyDescent="0.25">
      <c r="R4942"/>
      <c r="S4942"/>
    </row>
    <row r="4943" spans="18:19" x14ac:dyDescent="0.25">
      <c r="R4943"/>
      <c r="S4943"/>
    </row>
    <row r="4944" spans="18:19" x14ac:dyDescent="0.25">
      <c r="R4944"/>
      <c r="S4944"/>
    </row>
    <row r="4945" spans="18:19" x14ac:dyDescent="0.25">
      <c r="R4945"/>
      <c r="S4945"/>
    </row>
    <row r="4946" spans="18:19" x14ac:dyDescent="0.25">
      <c r="R4946"/>
      <c r="S4946"/>
    </row>
    <row r="4947" spans="18:19" x14ac:dyDescent="0.25">
      <c r="R4947"/>
      <c r="S4947"/>
    </row>
    <row r="4948" spans="18:19" x14ac:dyDescent="0.25">
      <c r="R4948"/>
      <c r="S4948"/>
    </row>
    <row r="4949" spans="18:19" x14ac:dyDescent="0.25">
      <c r="R4949"/>
      <c r="S4949"/>
    </row>
    <row r="4950" spans="18:19" x14ac:dyDescent="0.25">
      <c r="R4950"/>
      <c r="S4950"/>
    </row>
    <row r="4951" spans="18:19" x14ac:dyDescent="0.25">
      <c r="R4951"/>
      <c r="S4951"/>
    </row>
    <row r="4952" spans="18:19" x14ac:dyDescent="0.25">
      <c r="R4952"/>
      <c r="S4952"/>
    </row>
    <row r="4953" spans="18:19" x14ac:dyDescent="0.25">
      <c r="R4953"/>
      <c r="S4953"/>
    </row>
    <row r="4954" spans="18:19" x14ac:dyDescent="0.25">
      <c r="R4954"/>
      <c r="S4954"/>
    </row>
    <row r="4955" spans="18:19" x14ac:dyDescent="0.25">
      <c r="R4955"/>
      <c r="S4955"/>
    </row>
    <row r="4956" spans="18:19" x14ac:dyDescent="0.25">
      <c r="R4956"/>
      <c r="S4956"/>
    </row>
    <row r="4957" spans="18:19" x14ac:dyDescent="0.25">
      <c r="R4957"/>
      <c r="S4957"/>
    </row>
    <row r="4958" spans="18:19" x14ac:dyDescent="0.25">
      <c r="R4958"/>
      <c r="S4958"/>
    </row>
    <row r="4959" spans="18:19" x14ac:dyDescent="0.25">
      <c r="R4959"/>
      <c r="S4959"/>
    </row>
    <row r="4960" spans="18:19" x14ac:dyDescent="0.25">
      <c r="R4960"/>
      <c r="S4960"/>
    </row>
    <row r="4961" spans="18:19" x14ac:dyDescent="0.25">
      <c r="R4961"/>
      <c r="S4961"/>
    </row>
    <row r="4962" spans="18:19" x14ac:dyDescent="0.25">
      <c r="R4962"/>
      <c r="S4962"/>
    </row>
    <row r="4963" spans="18:19" x14ac:dyDescent="0.25">
      <c r="R4963"/>
      <c r="S4963"/>
    </row>
    <row r="4964" spans="18:19" x14ac:dyDescent="0.25">
      <c r="R4964"/>
      <c r="S4964"/>
    </row>
    <row r="4965" spans="18:19" x14ac:dyDescent="0.25">
      <c r="R4965"/>
      <c r="S4965"/>
    </row>
    <row r="4966" spans="18:19" x14ac:dyDescent="0.25">
      <c r="R4966"/>
      <c r="S4966"/>
    </row>
    <row r="4967" spans="18:19" x14ac:dyDescent="0.25">
      <c r="R4967"/>
      <c r="S4967"/>
    </row>
    <row r="4968" spans="18:19" x14ac:dyDescent="0.25">
      <c r="R4968"/>
      <c r="S4968"/>
    </row>
    <row r="4969" spans="18:19" x14ac:dyDescent="0.25">
      <c r="R4969"/>
      <c r="S4969"/>
    </row>
    <row r="4970" spans="18:19" x14ac:dyDescent="0.25">
      <c r="R4970"/>
      <c r="S4970"/>
    </row>
    <row r="4971" spans="18:19" x14ac:dyDescent="0.25">
      <c r="R4971"/>
      <c r="S4971"/>
    </row>
    <row r="4972" spans="18:19" x14ac:dyDescent="0.25">
      <c r="R4972"/>
      <c r="S4972"/>
    </row>
    <row r="4973" spans="18:19" x14ac:dyDescent="0.25">
      <c r="R4973"/>
      <c r="S4973"/>
    </row>
    <row r="4974" spans="18:19" x14ac:dyDescent="0.25">
      <c r="R4974"/>
      <c r="S4974"/>
    </row>
    <row r="4975" spans="18:19" x14ac:dyDescent="0.25">
      <c r="R4975"/>
      <c r="S4975"/>
    </row>
    <row r="4976" spans="18:19" x14ac:dyDescent="0.25">
      <c r="R4976"/>
      <c r="S4976"/>
    </row>
    <row r="4977" spans="18:19" x14ac:dyDescent="0.25">
      <c r="R4977"/>
      <c r="S4977"/>
    </row>
    <row r="4978" spans="18:19" x14ac:dyDescent="0.25">
      <c r="R4978"/>
      <c r="S4978"/>
    </row>
    <row r="4979" spans="18:19" x14ac:dyDescent="0.25">
      <c r="R4979"/>
      <c r="S4979"/>
    </row>
    <row r="4980" spans="18:19" x14ac:dyDescent="0.25">
      <c r="R4980"/>
      <c r="S4980"/>
    </row>
    <row r="4981" spans="18:19" x14ac:dyDescent="0.25">
      <c r="R4981"/>
      <c r="S4981"/>
    </row>
    <row r="4982" spans="18:19" x14ac:dyDescent="0.25">
      <c r="R4982"/>
      <c r="S4982"/>
    </row>
    <row r="4983" spans="18:19" x14ac:dyDescent="0.25">
      <c r="R4983"/>
      <c r="S4983"/>
    </row>
    <row r="4984" spans="18:19" x14ac:dyDescent="0.25">
      <c r="R4984"/>
      <c r="S4984"/>
    </row>
    <row r="4985" spans="18:19" x14ac:dyDescent="0.25">
      <c r="R4985"/>
      <c r="S4985"/>
    </row>
    <row r="4986" spans="18:19" x14ac:dyDescent="0.25">
      <c r="R4986"/>
      <c r="S4986"/>
    </row>
    <row r="4987" spans="18:19" x14ac:dyDescent="0.25">
      <c r="R4987"/>
      <c r="S4987"/>
    </row>
    <row r="4988" spans="18:19" x14ac:dyDescent="0.25">
      <c r="R4988"/>
      <c r="S4988"/>
    </row>
    <row r="4989" spans="18:19" x14ac:dyDescent="0.25">
      <c r="R4989"/>
      <c r="S4989"/>
    </row>
    <row r="4990" spans="18:19" x14ac:dyDescent="0.25">
      <c r="R4990"/>
      <c r="S4990"/>
    </row>
    <row r="4991" spans="18:19" x14ac:dyDescent="0.25">
      <c r="R4991"/>
      <c r="S4991"/>
    </row>
    <row r="4992" spans="18:19" x14ac:dyDescent="0.25">
      <c r="R4992"/>
      <c r="S4992"/>
    </row>
    <row r="4993" spans="18:19" x14ac:dyDescent="0.25">
      <c r="R4993"/>
      <c r="S4993"/>
    </row>
    <row r="4994" spans="18:19" x14ac:dyDescent="0.25">
      <c r="R4994"/>
      <c r="S4994"/>
    </row>
    <row r="4995" spans="18:19" x14ac:dyDescent="0.25">
      <c r="R4995"/>
      <c r="S4995"/>
    </row>
    <row r="4996" spans="18:19" x14ac:dyDescent="0.25">
      <c r="R4996"/>
      <c r="S4996"/>
    </row>
    <row r="4997" spans="18:19" x14ac:dyDescent="0.25">
      <c r="R4997"/>
      <c r="S4997"/>
    </row>
    <row r="4998" spans="18:19" x14ac:dyDescent="0.25">
      <c r="R4998"/>
      <c r="S4998"/>
    </row>
    <row r="4999" spans="18:19" x14ac:dyDescent="0.25">
      <c r="R4999"/>
      <c r="S4999"/>
    </row>
    <row r="5000" spans="18:19" x14ac:dyDescent="0.25">
      <c r="R5000"/>
      <c r="S5000"/>
    </row>
    <row r="5001" spans="18:19" x14ac:dyDescent="0.25">
      <c r="R5001"/>
      <c r="S5001"/>
    </row>
    <row r="5002" spans="18:19" x14ac:dyDescent="0.25">
      <c r="R5002"/>
      <c r="S5002"/>
    </row>
    <row r="5003" spans="18:19" x14ac:dyDescent="0.25">
      <c r="R5003"/>
      <c r="S5003"/>
    </row>
    <row r="5004" spans="18:19" x14ac:dyDescent="0.25">
      <c r="R5004"/>
      <c r="S5004"/>
    </row>
    <row r="5005" spans="18:19" x14ac:dyDescent="0.25">
      <c r="R5005"/>
      <c r="S5005"/>
    </row>
    <row r="5006" spans="18:19" x14ac:dyDescent="0.25">
      <c r="R5006"/>
      <c r="S5006"/>
    </row>
    <row r="5007" spans="18:19" x14ac:dyDescent="0.25">
      <c r="R5007"/>
      <c r="S5007"/>
    </row>
    <row r="5008" spans="18:19" x14ac:dyDescent="0.25">
      <c r="R5008"/>
      <c r="S5008"/>
    </row>
    <row r="5009" spans="18:19" x14ac:dyDescent="0.25">
      <c r="R5009"/>
      <c r="S5009"/>
    </row>
    <row r="5010" spans="18:19" x14ac:dyDescent="0.25">
      <c r="R5010"/>
      <c r="S5010"/>
    </row>
    <row r="5011" spans="18:19" x14ac:dyDescent="0.25">
      <c r="R5011"/>
      <c r="S5011"/>
    </row>
    <row r="5012" spans="18:19" x14ac:dyDescent="0.25">
      <c r="R5012"/>
      <c r="S5012"/>
    </row>
    <row r="5013" spans="18:19" x14ac:dyDescent="0.25">
      <c r="R5013"/>
      <c r="S5013"/>
    </row>
    <row r="5014" spans="18:19" x14ac:dyDescent="0.25">
      <c r="R5014"/>
      <c r="S5014"/>
    </row>
    <row r="5015" spans="18:19" x14ac:dyDescent="0.25">
      <c r="R5015"/>
      <c r="S5015"/>
    </row>
    <row r="5016" spans="18:19" x14ac:dyDescent="0.25">
      <c r="R5016"/>
      <c r="S5016"/>
    </row>
    <row r="5017" spans="18:19" x14ac:dyDescent="0.25">
      <c r="R5017"/>
      <c r="S5017"/>
    </row>
    <row r="5018" spans="18:19" x14ac:dyDescent="0.25">
      <c r="R5018"/>
      <c r="S5018"/>
    </row>
    <row r="5019" spans="18:19" x14ac:dyDescent="0.25">
      <c r="R5019"/>
      <c r="S5019"/>
    </row>
    <row r="5020" spans="18:19" x14ac:dyDescent="0.25">
      <c r="R5020"/>
      <c r="S5020"/>
    </row>
    <row r="5021" spans="18:19" x14ac:dyDescent="0.25">
      <c r="R5021"/>
      <c r="S5021"/>
    </row>
    <row r="5022" spans="18:19" x14ac:dyDescent="0.25">
      <c r="R5022"/>
      <c r="S5022"/>
    </row>
    <row r="5023" spans="18:19" x14ac:dyDescent="0.25">
      <c r="R5023"/>
      <c r="S5023"/>
    </row>
    <row r="5024" spans="18:19" x14ac:dyDescent="0.25">
      <c r="R5024"/>
      <c r="S5024"/>
    </row>
    <row r="5025" spans="18:19" x14ac:dyDescent="0.25">
      <c r="R5025"/>
      <c r="S5025"/>
    </row>
    <row r="5026" spans="18:19" x14ac:dyDescent="0.25">
      <c r="R5026"/>
      <c r="S5026"/>
    </row>
    <row r="5027" spans="18:19" x14ac:dyDescent="0.25">
      <c r="R5027"/>
      <c r="S5027"/>
    </row>
    <row r="5028" spans="18:19" x14ac:dyDescent="0.25">
      <c r="R5028"/>
      <c r="S5028"/>
    </row>
    <row r="5029" spans="18:19" x14ac:dyDescent="0.25">
      <c r="R5029"/>
      <c r="S5029"/>
    </row>
    <row r="5030" spans="18:19" x14ac:dyDescent="0.25">
      <c r="R5030"/>
      <c r="S5030"/>
    </row>
    <row r="5031" spans="18:19" x14ac:dyDescent="0.25">
      <c r="R5031"/>
      <c r="S5031"/>
    </row>
    <row r="5032" spans="18:19" x14ac:dyDescent="0.25">
      <c r="R5032"/>
      <c r="S5032"/>
    </row>
    <row r="5033" spans="18:19" x14ac:dyDescent="0.25">
      <c r="R5033"/>
      <c r="S5033"/>
    </row>
    <row r="5034" spans="18:19" x14ac:dyDescent="0.25">
      <c r="R5034"/>
      <c r="S5034"/>
    </row>
    <row r="5035" spans="18:19" x14ac:dyDescent="0.25">
      <c r="R5035"/>
      <c r="S5035"/>
    </row>
    <row r="5036" spans="18:19" x14ac:dyDescent="0.25">
      <c r="R5036"/>
      <c r="S5036"/>
    </row>
    <row r="5037" spans="18:19" x14ac:dyDescent="0.25">
      <c r="R5037"/>
      <c r="S5037"/>
    </row>
    <row r="5038" spans="18:19" x14ac:dyDescent="0.25">
      <c r="R5038"/>
      <c r="S5038"/>
    </row>
    <row r="5039" spans="18:19" x14ac:dyDescent="0.25">
      <c r="R5039"/>
      <c r="S5039"/>
    </row>
    <row r="5040" spans="18:19" x14ac:dyDescent="0.25">
      <c r="R5040"/>
      <c r="S5040"/>
    </row>
    <row r="5041" spans="18:19" x14ac:dyDescent="0.25">
      <c r="R5041"/>
      <c r="S5041"/>
    </row>
    <row r="5042" spans="18:19" x14ac:dyDescent="0.25">
      <c r="R5042"/>
      <c r="S5042"/>
    </row>
    <row r="5043" spans="18:19" x14ac:dyDescent="0.25">
      <c r="R5043"/>
      <c r="S5043"/>
    </row>
    <row r="5044" spans="18:19" x14ac:dyDescent="0.25">
      <c r="R5044"/>
      <c r="S5044"/>
    </row>
    <row r="5045" spans="18:19" x14ac:dyDescent="0.25">
      <c r="R5045"/>
      <c r="S5045"/>
    </row>
    <row r="5046" spans="18:19" x14ac:dyDescent="0.25">
      <c r="R5046"/>
      <c r="S5046"/>
    </row>
    <row r="5047" spans="18:19" x14ac:dyDescent="0.25">
      <c r="R5047"/>
      <c r="S5047"/>
    </row>
    <row r="5048" spans="18:19" x14ac:dyDescent="0.25">
      <c r="R5048"/>
      <c r="S5048"/>
    </row>
    <row r="5049" spans="18:19" x14ac:dyDescent="0.25">
      <c r="R5049"/>
      <c r="S5049"/>
    </row>
    <row r="5050" spans="18:19" x14ac:dyDescent="0.25">
      <c r="R5050"/>
      <c r="S5050"/>
    </row>
    <row r="5051" spans="18:19" x14ac:dyDescent="0.25">
      <c r="R5051"/>
      <c r="S5051"/>
    </row>
    <row r="5052" spans="18:19" x14ac:dyDescent="0.25">
      <c r="R5052"/>
      <c r="S5052"/>
    </row>
    <row r="5053" spans="18:19" x14ac:dyDescent="0.25">
      <c r="R5053"/>
      <c r="S5053"/>
    </row>
    <row r="5054" spans="18:19" x14ac:dyDescent="0.25">
      <c r="R5054"/>
      <c r="S5054"/>
    </row>
    <row r="5055" spans="18:19" x14ac:dyDescent="0.25">
      <c r="R5055"/>
      <c r="S5055"/>
    </row>
    <row r="5056" spans="18:19" x14ac:dyDescent="0.25">
      <c r="R5056"/>
      <c r="S5056"/>
    </row>
    <row r="5057" spans="18:19" x14ac:dyDescent="0.25">
      <c r="R5057"/>
      <c r="S5057"/>
    </row>
    <row r="5058" spans="18:19" x14ac:dyDescent="0.25">
      <c r="R5058"/>
      <c r="S5058"/>
    </row>
    <row r="5059" spans="18:19" x14ac:dyDescent="0.25">
      <c r="R5059"/>
      <c r="S5059"/>
    </row>
    <row r="5060" spans="18:19" x14ac:dyDescent="0.25">
      <c r="R5060"/>
      <c r="S5060"/>
    </row>
    <row r="5061" spans="18:19" x14ac:dyDescent="0.25">
      <c r="R5061"/>
      <c r="S5061"/>
    </row>
    <row r="5062" spans="18:19" x14ac:dyDescent="0.25">
      <c r="R5062"/>
      <c r="S5062"/>
    </row>
    <row r="5063" spans="18:19" x14ac:dyDescent="0.25">
      <c r="R5063"/>
      <c r="S5063"/>
    </row>
    <row r="5064" spans="18:19" x14ac:dyDescent="0.25">
      <c r="R5064"/>
      <c r="S5064"/>
    </row>
    <row r="5065" spans="18:19" x14ac:dyDescent="0.25">
      <c r="R5065"/>
      <c r="S5065"/>
    </row>
    <row r="5066" spans="18:19" x14ac:dyDescent="0.25">
      <c r="R5066"/>
      <c r="S5066"/>
    </row>
    <row r="5067" spans="18:19" x14ac:dyDescent="0.25">
      <c r="R5067"/>
      <c r="S5067"/>
    </row>
    <row r="5068" spans="18:19" x14ac:dyDescent="0.25">
      <c r="R5068"/>
      <c r="S5068"/>
    </row>
    <row r="5069" spans="18:19" x14ac:dyDescent="0.25">
      <c r="R5069"/>
      <c r="S5069"/>
    </row>
    <row r="5070" spans="18:19" x14ac:dyDescent="0.25">
      <c r="R5070"/>
      <c r="S5070"/>
    </row>
    <row r="5071" spans="18:19" x14ac:dyDescent="0.25">
      <c r="R5071"/>
      <c r="S5071"/>
    </row>
    <row r="5072" spans="18:19" x14ac:dyDescent="0.25">
      <c r="R5072"/>
      <c r="S5072"/>
    </row>
    <row r="5073" spans="18:19" x14ac:dyDescent="0.25">
      <c r="R5073"/>
      <c r="S5073"/>
    </row>
    <row r="5074" spans="18:19" x14ac:dyDescent="0.25">
      <c r="R5074"/>
      <c r="S5074"/>
    </row>
    <row r="5075" spans="18:19" x14ac:dyDescent="0.25">
      <c r="R5075"/>
      <c r="S5075"/>
    </row>
    <row r="5076" spans="18:19" x14ac:dyDescent="0.25">
      <c r="R5076"/>
      <c r="S5076"/>
    </row>
    <row r="5077" spans="18:19" x14ac:dyDescent="0.25">
      <c r="R5077"/>
      <c r="S5077"/>
    </row>
    <row r="5078" spans="18:19" x14ac:dyDescent="0.25">
      <c r="R5078"/>
      <c r="S5078"/>
    </row>
    <row r="5079" spans="18:19" x14ac:dyDescent="0.25">
      <c r="R5079"/>
      <c r="S5079"/>
    </row>
    <row r="5080" spans="18:19" x14ac:dyDescent="0.25">
      <c r="R5080"/>
      <c r="S5080"/>
    </row>
    <row r="5081" spans="18:19" x14ac:dyDescent="0.25">
      <c r="R5081"/>
      <c r="S5081"/>
    </row>
    <row r="5082" spans="18:19" x14ac:dyDescent="0.25">
      <c r="R5082"/>
      <c r="S5082"/>
    </row>
    <row r="5083" spans="18:19" x14ac:dyDescent="0.25">
      <c r="R5083"/>
      <c r="S5083"/>
    </row>
    <row r="5084" spans="18:19" x14ac:dyDescent="0.25">
      <c r="R5084"/>
      <c r="S5084"/>
    </row>
    <row r="5085" spans="18:19" x14ac:dyDescent="0.25">
      <c r="R5085"/>
      <c r="S5085"/>
    </row>
    <row r="5086" spans="18:19" x14ac:dyDescent="0.25">
      <c r="R5086"/>
      <c r="S5086"/>
    </row>
    <row r="5087" spans="18:19" x14ac:dyDescent="0.25">
      <c r="R5087"/>
      <c r="S5087"/>
    </row>
    <row r="5088" spans="18:19" x14ac:dyDescent="0.25">
      <c r="R5088"/>
      <c r="S5088"/>
    </row>
    <row r="5089" spans="18:19" x14ac:dyDescent="0.25">
      <c r="R5089"/>
      <c r="S5089"/>
    </row>
    <row r="5090" spans="18:19" x14ac:dyDescent="0.25">
      <c r="R5090"/>
      <c r="S5090"/>
    </row>
    <row r="5091" spans="18:19" x14ac:dyDescent="0.25">
      <c r="R5091"/>
      <c r="S5091"/>
    </row>
    <row r="5092" spans="18:19" x14ac:dyDescent="0.25">
      <c r="R5092"/>
      <c r="S5092"/>
    </row>
    <row r="5093" spans="18:19" x14ac:dyDescent="0.25">
      <c r="R5093"/>
      <c r="S5093"/>
    </row>
    <row r="5094" spans="18:19" x14ac:dyDescent="0.25">
      <c r="R5094"/>
      <c r="S5094"/>
    </row>
    <row r="5095" spans="18:19" x14ac:dyDescent="0.25">
      <c r="R5095"/>
      <c r="S5095"/>
    </row>
    <row r="5096" spans="18:19" x14ac:dyDescent="0.25">
      <c r="R5096"/>
      <c r="S5096"/>
    </row>
    <row r="5097" spans="18:19" x14ac:dyDescent="0.25">
      <c r="R5097"/>
      <c r="S5097"/>
    </row>
    <row r="5098" spans="18:19" x14ac:dyDescent="0.25">
      <c r="R5098"/>
      <c r="S5098"/>
    </row>
    <row r="5099" spans="18:19" x14ac:dyDescent="0.25">
      <c r="R5099"/>
      <c r="S5099"/>
    </row>
    <row r="5100" spans="18:19" x14ac:dyDescent="0.25">
      <c r="R5100"/>
      <c r="S5100"/>
    </row>
    <row r="5101" spans="18:19" x14ac:dyDescent="0.25">
      <c r="R5101"/>
      <c r="S5101"/>
    </row>
    <row r="5102" spans="18:19" x14ac:dyDescent="0.25">
      <c r="R5102"/>
      <c r="S5102"/>
    </row>
    <row r="5103" spans="18:19" x14ac:dyDescent="0.25">
      <c r="R5103"/>
      <c r="S5103"/>
    </row>
    <row r="5104" spans="18:19" x14ac:dyDescent="0.25">
      <c r="R5104"/>
      <c r="S5104"/>
    </row>
    <row r="5105" spans="18:19" x14ac:dyDescent="0.25">
      <c r="R5105"/>
      <c r="S5105"/>
    </row>
    <row r="5106" spans="18:19" x14ac:dyDescent="0.25">
      <c r="R5106"/>
      <c r="S5106"/>
    </row>
    <row r="5107" spans="18:19" x14ac:dyDescent="0.25">
      <c r="R5107"/>
      <c r="S5107"/>
    </row>
    <row r="5108" spans="18:19" x14ac:dyDescent="0.25">
      <c r="R5108"/>
      <c r="S5108"/>
    </row>
    <row r="5109" spans="18:19" x14ac:dyDescent="0.25">
      <c r="R5109"/>
      <c r="S5109"/>
    </row>
    <row r="5110" spans="18:19" x14ac:dyDescent="0.25">
      <c r="R5110"/>
      <c r="S5110"/>
    </row>
    <row r="5111" spans="18:19" x14ac:dyDescent="0.25">
      <c r="R5111"/>
      <c r="S5111"/>
    </row>
    <row r="5112" spans="18:19" x14ac:dyDescent="0.25">
      <c r="R5112"/>
      <c r="S5112"/>
    </row>
    <row r="5113" spans="18:19" x14ac:dyDescent="0.25">
      <c r="R5113"/>
      <c r="S5113"/>
    </row>
    <row r="5114" spans="18:19" x14ac:dyDescent="0.25">
      <c r="R5114"/>
      <c r="S5114"/>
    </row>
    <row r="5115" spans="18:19" x14ac:dyDescent="0.25">
      <c r="R5115"/>
      <c r="S5115"/>
    </row>
    <row r="5116" spans="18:19" x14ac:dyDescent="0.25">
      <c r="R5116"/>
      <c r="S5116"/>
    </row>
    <row r="5117" spans="18:19" x14ac:dyDescent="0.25">
      <c r="R5117"/>
      <c r="S5117"/>
    </row>
    <row r="5118" spans="18:19" x14ac:dyDescent="0.25">
      <c r="R5118"/>
      <c r="S5118"/>
    </row>
    <row r="5119" spans="18:19" x14ac:dyDescent="0.25">
      <c r="R5119"/>
      <c r="S5119"/>
    </row>
    <row r="5120" spans="18:19" x14ac:dyDescent="0.25">
      <c r="R5120"/>
      <c r="S5120"/>
    </row>
    <row r="5121" spans="18:19" x14ac:dyDescent="0.25">
      <c r="R5121"/>
      <c r="S5121"/>
    </row>
    <row r="5122" spans="18:19" x14ac:dyDescent="0.25">
      <c r="R5122"/>
      <c r="S5122"/>
    </row>
    <row r="5123" spans="18:19" x14ac:dyDescent="0.25">
      <c r="R5123"/>
      <c r="S5123"/>
    </row>
    <row r="5124" spans="18:19" x14ac:dyDescent="0.25">
      <c r="R5124"/>
      <c r="S5124"/>
    </row>
    <row r="5125" spans="18:19" x14ac:dyDescent="0.25">
      <c r="R5125"/>
      <c r="S5125"/>
    </row>
    <row r="5126" spans="18:19" x14ac:dyDescent="0.25">
      <c r="R5126"/>
      <c r="S5126"/>
    </row>
    <row r="5127" spans="18:19" x14ac:dyDescent="0.25">
      <c r="R5127"/>
      <c r="S5127"/>
    </row>
    <row r="5128" spans="18:19" x14ac:dyDescent="0.25">
      <c r="R5128"/>
      <c r="S5128"/>
    </row>
    <row r="5129" spans="18:19" x14ac:dyDescent="0.25">
      <c r="R5129"/>
      <c r="S5129"/>
    </row>
    <row r="5130" spans="18:19" x14ac:dyDescent="0.25">
      <c r="R5130"/>
      <c r="S5130"/>
    </row>
    <row r="5131" spans="18:19" x14ac:dyDescent="0.25">
      <c r="R5131"/>
      <c r="S5131"/>
    </row>
    <row r="5132" spans="18:19" x14ac:dyDescent="0.25">
      <c r="R5132"/>
      <c r="S5132"/>
    </row>
    <row r="5133" spans="18:19" x14ac:dyDescent="0.25">
      <c r="R5133"/>
      <c r="S5133"/>
    </row>
    <row r="5134" spans="18:19" x14ac:dyDescent="0.25">
      <c r="R5134"/>
      <c r="S5134"/>
    </row>
    <row r="5135" spans="18:19" x14ac:dyDescent="0.25">
      <c r="R5135"/>
      <c r="S5135"/>
    </row>
    <row r="5136" spans="18:19" x14ac:dyDescent="0.25">
      <c r="R5136"/>
      <c r="S5136"/>
    </row>
    <row r="5137" spans="18:19" x14ac:dyDescent="0.25">
      <c r="R5137"/>
      <c r="S5137"/>
    </row>
    <row r="5138" spans="18:19" x14ac:dyDescent="0.25">
      <c r="R5138"/>
      <c r="S5138"/>
    </row>
    <row r="5139" spans="18:19" x14ac:dyDescent="0.25">
      <c r="R5139"/>
      <c r="S5139"/>
    </row>
    <row r="5140" spans="18:19" x14ac:dyDescent="0.25">
      <c r="R5140"/>
      <c r="S5140"/>
    </row>
    <row r="5141" spans="18:19" x14ac:dyDescent="0.25">
      <c r="R5141"/>
      <c r="S5141"/>
    </row>
    <row r="5142" spans="18:19" x14ac:dyDescent="0.25">
      <c r="R5142"/>
      <c r="S5142"/>
    </row>
    <row r="5143" spans="18:19" x14ac:dyDescent="0.25">
      <c r="R5143"/>
      <c r="S5143"/>
    </row>
    <row r="5144" spans="18:19" x14ac:dyDescent="0.25">
      <c r="R5144"/>
      <c r="S5144"/>
    </row>
    <row r="5145" spans="18:19" x14ac:dyDescent="0.25">
      <c r="R5145"/>
      <c r="S5145"/>
    </row>
    <row r="5146" spans="18:19" x14ac:dyDescent="0.25">
      <c r="R5146"/>
      <c r="S5146"/>
    </row>
    <row r="5147" spans="18:19" x14ac:dyDescent="0.25">
      <c r="R5147"/>
      <c r="S5147"/>
    </row>
    <row r="5148" spans="18:19" x14ac:dyDescent="0.25">
      <c r="R5148"/>
      <c r="S5148"/>
    </row>
    <row r="5149" spans="18:19" x14ac:dyDescent="0.25">
      <c r="R5149"/>
      <c r="S5149"/>
    </row>
    <row r="5150" spans="18:19" x14ac:dyDescent="0.25">
      <c r="R5150"/>
      <c r="S5150"/>
    </row>
    <row r="5151" spans="18:19" x14ac:dyDescent="0.25">
      <c r="R5151"/>
      <c r="S5151"/>
    </row>
    <row r="5152" spans="18:19" x14ac:dyDescent="0.25">
      <c r="R5152"/>
      <c r="S5152"/>
    </row>
    <row r="5153" spans="18:19" x14ac:dyDescent="0.25">
      <c r="R5153"/>
      <c r="S5153"/>
    </row>
    <row r="5154" spans="18:19" x14ac:dyDescent="0.25">
      <c r="R5154"/>
      <c r="S5154"/>
    </row>
    <row r="5155" spans="18:19" x14ac:dyDescent="0.25">
      <c r="R5155"/>
      <c r="S5155"/>
    </row>
    <row r="5156" spans="18:19" x14ac:dyDescent="0.25">
      <c r="R5156"/>
      <c r="S5156"/>
    </row>
    <row r="5157" spans="18:19" x14ac:dyDescent="0.25">
      <c r="R5157"/>
      <c r="S5157"/>
    </row>
    <row r="5158" spans="18:19" x14ac:dyDescent="0.25">
      <c r="R5158"/>
      <c r="S5158"/>
    </row>
    <row r="5159" spans="18:19" x14ac:dyDescent="0.25">
      <c r="R5159"/>
      <c r="S5159"/>
    </row>
    <row r="5160" spans="18:19" x14ac:dyDescent="0.25">
      <c r="R5160"/>
      <c r="S5160"/>
    </row>
    <row r="5161" spans="18:19" x14ac:dyDescent="0.25">
      <c r="R5161"/>
      <c r="S5161"/>
    </row>
    <row r="5162" spans="18:19" x14ac:dyDescent="0.25">
      <c r="R5162"/>
      <c r="S5162"/>
    </row>
    <row r="5163" spans="18:19" x14ac:dyDescent="0.25">
      <c r="R5163"/>
      <c r="S5163"/>
    </row>
    <row r="5164" spans="18:19" x14ac:dyDescent="0.25">
      <c r="R5164"/>
      <c r="S5164"/>
    </row>
    <row r="5165" spans="18:19" x14ac:dyDescent="0.25">
      <c r="R5165"/>
      <c r="S5165"/>
    </row>
    <row r="5166" spans="18:19" x14ac:dyDescent="0.25">
      <c r="R5166"/>
      <c r="S5166"/>
    </row>
    <row r="5167" spans="18:19" x14ac:dyDescent="0.25">
      <c r="R5167"/>
      <c r="S5167"/>
    </row>
    <row r="5168" spans="18:19" x14ac:dyDescent="0.25">
      <c r="R5168"/>
      <c r="S5168"/>
    </row>
    <row r="5169" spans="18:19" x14ac:dyDescent="0.25">
      <c r="R5169"/>
      <c r="S5169"/>
    </row>
    <row r="5170" spans="18:19" x14ac:dyDescent="0.25">
      <c r="R5170"/>
      <c r="S5170"/>
    </row>
    <row r="5171" spans="18:19" x14ac:dyDescent="0.25">
      <c r="R5171"/>
      <c r="S5171"/>
    </row>
    <row r="5172" spans="18:19" x14ac:dyDescent="0.25">
      <c r="R5172"/>
      <c r="S5172"/>
    </row>
    <row r="5173" spans="18:19" x14ac:dyDescent="0.25">
      <c r="R5173"/>
      <c r="S5173"/>
    </row>
    <row r="5174" spans="18:19" x14ac:dyDescent="0.25">
      <c r="R5174"/>
      <c r="S5174"/>
    </row>
    <row r="5175" spans="18:19" x14ac:dyDescent="0.25">
      <c r="R5175"/>
      <c r="S5175"/>
    </row>
    <row r="5176" spans="18:19" x14ac:dyDescent="0.25">
      <c r="R5176"/>
      <c r="S5176"/>
    </row>
    <row r="5177" spans="18:19" x14ac:dyDescent="0.25">
      <c r="R5177"/>
      <c r="S5177"/>
    </row>
    <row r="5178" spans="18:19" x14ac:dyDescent="0.25">
      <c r="R5178"/>
      <c r="S5178"/>
    </row>
    <row r="5179" spans="18:19" x14ac:dyDescent="0.25">
      <c r="R5179"/>
      <c r="S5179"/>
    </row>
    <row r="5180" spans="18:19" x14ac:dyDescent="0.25">
      <c r="R5180"/>
      <c r="S5180"/>
    </row>
    <row r="5181" spans="18:19" x14ac:dyDescent="0.25">
      <c r="R5181"/>
      <c r="S5181"/>
    </row>
    <row r="5182" spans="18:19" x14ac:dyDescent="0.25">
      <c r="R5182"/>
      <c r="S5182"/>
    </row>
    <row r="5183" spans="18:19" x14ac:dyDescent="0.25">
      <c r="R5183"/>
      <c r="S5183"/>
    </row>
    <row r="5184" spans="18:19" x14ac:dyDescent="0.25">
      <c r="R5184"/>
      <c r="S5184"/>
    </row>
    <row r="5185" spans="18:19" x14ac:dyDescent="0.25">
      <c r="R5185"/>
      <c r="S5185"/>
    </row>
    <row r="5186" spans="18:19" x14ac:dyDescent="0.25">
      <c r="R5186"/>
      <c r="S5186"/>
    </row>
    <row r="5187" spans="18:19" x14ac:dyDescent="0.25">
      <c r="R5187"/>
      <c r="S5187"/>
    </row>
    <row r="5188" spans="18:19" x14ac:dyDescent="0.25">
      <c r="R5188"/>
      <c r="S5188"/>
    </row>
    <row r="5189" spans="18:19" x14ac:dyDescent="0.25">
      <c r="R5189"/>
      <c r="S5189"/>
    </row>
    <row r="5190" spans="18:19" x14ac:dyDescent="0.25">
      <c r="R5190"/>
      <c r="S5190"/>
    </row>
    <row r="5191" spans="18:19" x14ac:dyDescent="0.25">
      <c r="R5191"/>
      <c r="S5191"/>
    </row>
    <row r="5192" spans="18:19" x14ac:dyDescent="0.25">
      <c r="R5192"/>
      <c r="S5192"/>
    </row>
    <row r="5193" spans="18:19" x14ac:dyDescent="0.25">
      <c r="R5193"/>
      <c r="S5193"/>
    </row>
    <row r="5194" spans="18:19" x14ac:dyDescent="0.25">
      <c r="R5194"/>
      <c r="S5194"/>
    </row>
    <row r="5195" spans="18:19" x14ac:dyDescent="0.25">
      <c r="R5195"/>
      <c r="S5195"/>
    </row>
    <row r="5196" spans="18:19" x14ac:dyDescent="0.25">
      <c r="R5196"/>
      <c r="S5196"/>
    </row>
    <row r="5197" spans="18:19" x14ac:dyDescent="0.25">
      <c r="R5197"/>
      <c r="S5197"/>
    </row>
    <row r="5198" spans="18:19" x14ac:dyDescent="0.25">
      <c r="R5198"/>
      <c r="S5198"/>
    </row>
    <row r="5199" spans="18:19" x14ac:dyDescent="0.25">
      <c r="R5199"/>
      <c r="S5199"/>
    </row>
    <row r="5200" spans="18:19" x14ac:dyDescent="0.25">
      <c r="R5200"/>
      <c r="S5200"/>
    </row>
    <row r="5201" spans="18:19" x14ac:dyDescent="0.25">
      <c r="R5201"/>
      <c r="S5201"/>
    </row>
    <row r="5202" spans="18:19" x14ac:dyDescent="0.25">
      <c r="R5202"/>
      <c r="S5202"/>
    </row>
    <row r="5203" spans="18:19" x14ac:dyDescent="0.25">
      <c r="R5203"/>
      <c r="S5203"/>
    </row>
    <row r="5204" spans="18:19" x14ac:dyDescent="0.25">
      <c r="R5204"/>
      <c r="S5204"/>
    </row>
    <row r="5205" spans="18:19" x14ac:dyDescent="0.25">
      <c r="R5205"/>
      <c r="S5205"/>
    </row>
    <row r="5206" spans="18:19" x14ac:dyDescent="0.25">
      <c r="R5206"/>
      <c r="S5206"/>
    </row>
    <row r="5207" spans="18:19" x14ac:dyDescent="0.25">
      <c r="R5207"/>
      <c r="S5207"/>
    </row>
    <row r="5208" spans="18:19" x14ac:dyDescent="0.25">
      <c r="R5208"/>
      <c r="S5208"/>
    </row>
    <row r="5209" spans="18:19" x14ac:dyDescent="0.25">
      <c r="R5209"/>
      <c r="S5209"/>
    </row>
    <row r="5210" spans="18:19" x14ac:dyDescent="0.25">
      <c r="R5210"/>
      <c r="S5210"/>
    </row>
    <row r="5211" spans="18:19" x14ac:dyDescent="0.25">
      <c r="R5211"/>
      <c r="S5211"/>
    </row>
    <row r="5212" spans="18:19" x14ac:dyDescent="0.25">
      <c r="R5212"/>
      <c r="S5212"/>
    </row>
    <row r="5213" spans="18:19" x14ac:dyDescent="0.25">
      <c r="R5213"/>
      <c r="S5213"/>
    </row>
    <row r="5214" spans="18:19" x14ac:dyDescent="0.25">
      <c r="R5214"/>
      <c r="S5214"/>
    </row>
    <row r="5215" spans="18:19" x14ac:dyDescent="0.25">
      <c r="R5215"/>
      <c r="S5215"/>
    </row>
    <row r="5216" spans="18:19" x14ac:dyDescent="0.25">
      <c r="R5216"/>
      <c r="S5216"/>
    </row>
    <row r="5217" spans="18:19" x14ac:dyDescent="0.25">
      <c r="R5217"/>
      <c r="S5217"/>
    </row>
    <row r="5218" spans="18:19" x14ac:dyDescent="0.25">
      <c r="R5218"/>
      <c r="S5218"/>
    </row>
    <row r="5219" spans="18:19" x14ac:dyDescent="0.25">
      <c r="R5219"/>
      <c r="S5219"/>
    </row>
    <row r="5220" spans="18:19" x14ac:dyDescent="0.25">
      <c r="R5220"/>
      <c r="S5220"/>
    </row>
    <row r="5221" spans="18:19" x14ac:dyDescent="0.25">
      <c r="R5221"/>
      <c r="S5221"/>
    </row>
    <row r="5222" spans="18:19" x14ac:dyDescent="0.25">
      <c r="R5222"/>
      <c r="S5222"/>
    </row>
    <row r="5223" spans="18:19" x14ac:dyDescent="0.25">
      <c r="R5223"/>
      <c r="S5223"/>
    </row>
    <row r="5224" spans="18:19" x14ac:dyDescent="0.25">
      <c r="R5224"/>
      <c r="S5224"/>
    </row>
    <row r="5225" spans="18:19" x14ac:dyDescent="0.25">
      <c r="R5225"/>
      <c r="S5225"/>
    </row>
    <row r="5226" spans="18:19" x14ac:dyDescent="0.25">
      <c r="R5226"/>
      <c r="S5226"/>
    </row>
    <row r="5227" spans="18:19" x14ac:dyDescent="0.25">
      <c r="R5227"/>
      <c r="S5227"/>
    </row>
    <row r="5228" spans="18:19" x14ac:dyDescent="0.25">
      <c r="R5228"/>
      <c r="S5228"/>
    </row>
    <row r="5229" spans="18:19" x14ac:dyDescent="0.25">
      <c r="R5229"/>
      <c r="S5229"/>
    </row>
    <row r="5230" spans="18:19" x14ac:dyDescent="0.25">
      <c r="R5230"/>
      <c r="S5230"/>
    </row>
    <row r="5231" spans="18:19" x14ac:dyDescent="0.25">
      <c r="R5231"/>
      <c r="S5231"/>
    </row>
    <row r="5232" spans="18:19" x14ac:dyDescent="0.25">
      <c r="R5232"/>
      <c r="S5232"/>
    </row>
    <row r="5233" spans="18:19" x14ac:dyDescent="0.25">
      <c r="R5233"/>
      <c r="S5233"/>
    </row>
    <row r="5234" spans="18:19" x14ac:dyDescent="0.25">
      <c r="R5234"/>
      <c r="S5234"/>
    </row>
    <row r="5235" spans="18:19" x14ac:dyDescent="0.25">
      <c r="R5235"/>
      <c r="S5235"/>
    </row>
    <row r="5236" spans="18:19" x14ac:dyDescent="0.25">
      <c r="R5236"/>
      <c r="S5236"/>
    </row>
    <row r="5237" spans="18:19" x14ac:dyDescent="0.25">
      <c r="R5237"/>
      <c r="S5237"/>
    </row>
    <row r="5238" spans="18:19" x14ac:dyDescent="0.25">
      <c r="R5238"/>
      <c r="S5238"/>
    </row>
    <row r="5239" spans="18:19" x14ac:dyDescent="0.25">
      <c r="R5239"/>
      <c r="S5239"/>
    </row>
    <row r="5240" spans="18:19" x14ac:dyDescent="0.25">
      <c r="R5240"/>
      <c r="S5240"/>
    </row>
    <row r="5241" spans="18:19" x14ac:dyDescent="0.25">
      <c r="R5241"/>
      <c r="S5241"/>
    </row>
    <row r="5242" spans="18:19" x14ac:dyDescent="0.25">
      <c r="R5242"/>
      <c r="S5242"/>
    </row>
    <row r="5243" spans="18:19" x14ac:dyDescent="0.25">
      <c r="R5243"/>
      <c r="S5243"/>
    </row>
    <row r="5244" spans="18:19" x14ac:dyDescent="0.25">
      <c r="R5244"/>
      <c r="S5244"/>
    </row>
    <row r="5245" spans="18:19" x14ac:dyDescent="0.25">
      <c r="R5245"/>
      <c r="S5245"/>
    </row>
    <row r="5246" spans="18:19" x14ac:dyDescent="0.25">
      <c r="R5246"/>
      <c r="S5246"/>
    </row>
    <row r="5247" spans="18:19" x14ac:dyDescent="0.25">
      <c r="R5247"/>
      <c r="S5247"/>
    </row>
    <row r="5248" spans="18:19" x14ac:dyDescent="0.25">
      <c r="R5248"/>
      <c r="S5248"/>
    </row>
    <row r="5249" spans="18:19" x14ac:dyDescent="0.25">
      <c r="R5249"/>
      <c r="S5249"/>
    </row>
    <row r="5250" spans="18:19" x14ac:dyDescent="0.25">
      <c r="R5250"/>
      <c r="S5250"/>
    </row>
    <row r="5251" spans="18:19" x14ac:dyDescent="0.25">
      <c r="R5251"/>
      <c r="S5251"/>
    </row>
    <row r="5252" spans="18:19" x14ac:dyDescent="0.25">
      <c r="R5252"/>
      <c r="S5252"/>
    </row>
    <row r="5253" spans="18:19" x14ac:dyDescent="0.25">
      <c r="R5253"/>
      <c r="S5253"/>
    </row>
    <row r="5254" spans="18:19" x14ac:dyDescent="0.25">
      <c r="R5254"/>
      <c r="S5254"/>
    </row>
    <row r="5255" spans="18:19" x14ac:dyDescent="0.25">
      <c r="R5255"/>
      <c r="S5255"/>
    </row>
    <row r="5256" spans="18:19" x14ac:dyDescent="0.25">
      <c r="R5256"/>
      <c r="S5256"/>
    </row>
    <row r="5257" spans="18:19" x14ac:dyDescent="0.25">
      <c r="R5257"/>
      <c r="S5257"/>
    </row>
    <row r="5258" spans="18:19" x14ac:dyDescent="0.25">
      <c r="R5258"/>
      <c r="S5258"/>
    </row>
    <row r="5259" spans="18:19" x14ac:dyDescent="0.25">
      <c r="R5259"/>
      <c r="S5259"/>
    </row>
    <row r="5260" spans="18:19" x14ac:dyDescent="0.25">
      <c r="R5260"/>
      <c r="S5260"/>
    </row>
    <row r="5261" spans="18:19" x14ac:dyDescent="0.25">
      <c r="R5261"/>
      <c r="S5261"/>
    </row>
    <row r="5262" spans="18:19" x14ac:dyDescent="0.25">
      <c r="R5262"/>
      <c r="S5262"/>
    </row>
    <row r="5263" spans="18:19" x14ac:dyDescent="0.25">
      <c r="R5263"/>
      <c r="S5263"/>
    </row>
    <row r="5264" spans="18:19" x14ac:dyDescent="0.25">
      <c r="R5264"/>
      <c r="S5264"/>
    </row>
    <row r="5265" spans="18:19" x14ac:dyDescent="0.25">
      <c r="R5265"/>
      <c r="S5265"/>
    </row>
    <row r="5266" spans="18:19" x14ac:dyDescent="0.25">
      <c r="R5266"/>
      <c r="S5266"/>
    </row>
    <row r="5267" spans="18:19" x14ac:dyDescent="0.25">
      <c r="R5267"/>
      <c r="S5267"/>
    </row>
    <row r="5268" spans="18:19" x14ac:dyDescent="0.25">
      <c r="R5268"/>
      <c r="S5268"/>
    </row>
    <row r="5269" spans="18:19" x14ac:dyDescent="0.25">
      <c r="R5269"/>
      <c r="S5269"/>
    </row>
    <row r="5270" spans="18:19" x14ac:dyDescent="0.25">
      <c r="R5270"/>
      <c r="S5270"/>
    </row>
    <row r="5271" spans="18:19" x14ac:dyDescent="0.25">
      <c r="R5271"/>
      <c r="S5271"/>
    </row>
    <row r="5272" spans="18:19" x14ac:dyDescent="0.25">
      <c r="R5272"/>
      <c r="S5272"/>
    </row>
    <row r="5273" spans="18:19" x14ac:dyDescent="0.25">
      <c r="R5273"/>
      <c r="S5273"/>
    </row>
    <row r="5274" spans="18:19" x14ac:dyDescent="0.25">
      <c r="R5274"/>
      <c r="S5274"/>
    </row>
    <row r="5275" spans="18:19" x14ac:dyDescent="0.25">
      <c r="R5275"/>
      <c r="S5275"/>
    </row>
    <row r="5276" spans="18:19" x14ac:dyDescent="0.25">
      <c r="R5276"/>
      <c r="S5276"/>
    </row>
    <row r="5277" spans="18:19" x14ac:dyDescent="0.25">
      <c r="R5277"/>
      <c r="S5277"/>
    </row>
    <row r="5278" spans="18:19" x14ac:dyDescent="0.25">
      <c r="R5278"/>
      <c r="S5278"/>
    </row>
    <row r="5279" spans="18:19" x14ac:dyDescent="0.25">
      <c r="R5279"/>
      <c r="S5279"/>
    </row>
    <row r="5280" spans="18:19" x14ac:dyDescent="0.25">
      <c r="R5280"/>
      <c r="S5280"/>
    </row>
    <row r="5281" spans="18:19" x14ac:dyDescent="0.25">
      <c r="R5281"/>
      <c r="S5281"/>
    </row>
    <row r="5282" spans="18:19" x14ac:dyDescent="0.25">
      <c r="R5282"/>
      <c r="S5282"/>
    </row>
    <row r="5283" spans="18:19" x14ac:dyDescent="0.25">
      <c r="R5283"/>
      <c r="S5283"/>
    </row>
    <row r="5284" spans="18:19" x14ac:dyDescent="0.25">
      <c r="R5284"/>
      <c r="S5284"/>
    </row>
    <row r="5285" spans="18:19" x14ac:dyDescent="0.25">
      <c r="R5285"/>
      <c r="S5285"/>
    </row>
    <row r="5286" spans="18:19" x14ac:dyDescent="0.25">
      <c r="R5286"/>
      <c r="S5286"/>
    </row>
    <row r="5287" spans="18:19" x14ac:dyDescent="0.25">
      <c r="R5287"/>
      <c r="S5287"/>
    </row>
    <row r="5288" spans="18:19" x14ac:dyDescent="0.25">
      <c r="R5288"/>
      <c r="S5288"/>
    </row>
    <row r="5289" spans="18:19" x14ac:dyDescent="0.25">
      <c r="R5289"/>
      <c r="S5289"/>
    </row>
    <row r="5290" spans="18:19" x14ac:dyDescent="0.25">
      <c r="R5290"/>
      <c r="S5290"/>
    </row>
    <row r="5291" spans="18:19" x14ac:dyDescent="0.25">
      <c r="R5291"/>
      <c r="S5291"/>
    </row>
    <row r="5292" spans="18:19" x14ac:dyDescent="0.25">
      <c r="R5292"/>
      <c r="S5292"/>
    </row>
    <row r="5293" spans="18:19" x14ac:dyDescent="0.25">
      <c r="R5293"/>
      <c r="S5293"/>
    </row>
    <row r="5294" spans="18:19" x14ac:dyDescent="0.25">
      <c r="R5294"/>
      <c r="S5294"/>
    </row>
    <row r="5295" spans="18:19" x14ac:dyDescent="0.25">
      <c r="R5295"/>
      <c r="S5295"/>
    </row>
    <row r="5296" spans="18:19" x14ac:dyDescent="0.25">
      <c r="R5296"/>
      <c r="S5296"/>
    </row>
    <row r="5297" spans="18:19" x14ac:dyDescent="0.25">
      <c r="R5297"/>
      <c r="S5297"/>
    </row>
    <row r="5298" spans="18:19" x14ac:dyDescent="0.25">
      <c r="R5298"/>
      <c r="S5298"/>
    </row>
    <row r="5299" spans="18:19" x14ac:dyDescent="0.25">
      <c r="R5299"/>
      <c r="S5299"/>
    </row>
    <row r="5300" spans="18:19" x14ac:dyDescent="0.25">
      <c r="R5300"/>
      <c r="S5300"/>
    </row>
    <row r="5301" spans="18:19" x14ac:dyDescent="0.25">
      <c r="R5301"/>
      <c r="S5301"/>
    </row>
    <row r="5302" spans="18:19" x14ac:dyDescent="0.25">
      <c r="R5302"/>
      <c r="S5302"/>
    </row>
    <row r="5303" spans="18:19" x14ac:dyDescent="0.25">
      <c r="R5303"/>
      <c r="S5303"/>
    </row>
    <row r="5304" spans="18:19" x14ac:dyDescent="0.25">
      <c r="R5304"/>
      <c r="S5304"/>
    </row>
    <row r="5305" spans="18:19" x14ac:dyDescent="0.25">
      <c r="R5305"/>
      <c r="S5305"/>
    </row>
    <row r="5306" spans="18:19" x14ac:dyDescent="0.25">
      <c r="R5306"/>
      <c r="S5306"/>
    </row>
    <row r="5307" spans="18:19" x14ac:dyDescent="0.25">
      <c r="R5307"/>
      <c r="S5307"/>
    </row>
    <row r="5308" spans="18:19" x14ac:dyDescent="0.25">
      <c r="R5308"/>
      <c r="S5308"/>
    </row>
    <row r="5309" spans="18:19" x14ac:dyDescent="0.25">
      <c r="R5309"/>
      <c r="S5309"/>
    </row>
    <row r="5310" spans="18:19" x14ac:dyDescent="0.25">
      <c r="R5310"/>
      <c r="S5310"/>
    </row>
    <row r="5311" spans="18:19" x14ac:dyDescent="0.25">
      <c r="R5311"/>
      <c r="S5311"/>
    </row>
    <row r="5312" spans="18:19" x14ac:dyDescent="0.25">
      <c r="R5312"/>
      <c r="S5312"/>
    </row>
    <row r="5313" spans="18:19" x14ac:dyDescent="0.25">
      <c r="R5313"/>
      <c r="S5313"/>
    </row>
    <row r="5314" spans="18:19" x14ac:dyDescent="0.25">
      <c r="R5314"/>
      <c r="S5314"/>
    </row>
    <row r="5315" spans="18:19" x14ac:dyDescent="0.25">
      <c r="R5315"/>
      <c r="S5315"/>
    </row>
    <row r="5316" spans="18:19" x14ac:dyDescent="0.25">
      <c r="R5316"/>
      <c r="S5316"/>
    </row>
    <row r="5317" spans="18:19" x14ac:dyDescent="0.25">
      <c r="R5317"/>
      <c r="S5317"/>
    </row>
    <row r="5318" spans="18:19" x14ac:dyDescent="0.25">
      <c r="R5318"/>
      <c r="S5318"/>
    </row>
    <row r="5319" spans="18:19" x14ac:dyDescent="0.25">
      <c r="R5319"/>
      <c r="S5319"/>
    </row>
    <row r="5320" spans="18:19" x14ac:dyDescent="0.25">
      <c r="R5320"/>
      <c r="S5320"/>
    </row>
    <row r="5321" spans="18:19" x14ac:dyDescent="0.25">
      <c r="R5321"/>
      <c r="S5321"/>
    </row>
    <row r="5322" spans="18:19" x14ac:dyDescent="0.25">
      <c r="R5322"/>
      <c r="S5322"/>
    </row>
    <row r="5323" spans="18:19" x14ac:dyDescent="0.25">
      <c r="R5323"/>
      <c r="S5323"/>
    </row>
    <row r="5324" spans="18:19" x14ac:dyDescent="0.25">
      <c r="R5324"/>
      <c r="S5324"/>
    </row>
    <row r="5325" spans="18:19" x14ac:dyDescent="0.25">
      <c r="R5325"/>
      <c r="S5325"/>
    </row>
    <row r="5326" spans="18:19" x14ac:dyDescent="0.25">
      <c r="R5326"/>
      <c r="S5326"/>
    </row>
    <row r="5327" spans="18:19" x14ac:dyDescent="0.25">
      <c r="R5327"/>
      <c r="S5327"/>
    </row>
    <row r="5328" spans="18:19" x14ac:dyDescent="0.25">
      <c r="R5328"/>
      <c r="S5328"/>
    </row>
    <row r="5329" spans="18:19" x14ac:dyDescent="0.25">
      <c r="R5329"/>
      <c r="S5329"/>
    </row>
    <row r="5330" spans="18:19" x14ac:dyDescent="0.25">
      <c r="R5330"/>
      <c r="S5330"/>
    </row>
    <row r="5331" spans="18:19" x14ac:dyDescent="0.25">
      <c r="R5331"/>
      <c r="S5331"/>
    </row>
    <row r="5332" spans="18:19" x14ac:dyDescent="0.25">
      <c r="R5332"/>
      <c r="S5332"/>
    </row>
    <row r="5333" spans="18:19" x14ac:dyDescent="0.25">
      <c r="R5333"/>
      <c r="S5333"/>
    </row>
    <row r="5334" spans="18:19" x14ac:dyDescent="0.25">
      <c r="R5334"/>
      <c r="S5334"/>
    </row>
    <row r="5335" spans="18:19" x14ac:dyDescent="0.25">
      <c r="R5335"/>
      <c r="S5335"/>
    </row>
    <row r="5336" spans="18:19" x14ac:dyDescent="0.25">
      <c r="R5336"/>
      <c r="S5336"/>
    </row>
    <row r="5337" spans="18:19" x14ac:dyDescent="0.25">
      <c r="R5337"/>
      <c r="S5337"/>
    </row>
    <row r="5338" spans="18:19" x14ac:dyDescent="0.25">
      <c r="R5338"/>
      <c r="S5338"/>
    </row>
    <row r="5339" spans="18:19" x14ac:dyDescent="0.25">
      <c r="R5339"/>
      <c r="S5339"/>
    </row>
    <row r="5340" spans="18:19" x14ac:dyDescent="0.25">
      <c r="R5340"/>
      <c r="S5340"/>
    </row>
    <row r="5341" spans="18:19" x14ac:dyDescent="0.25">
      <c r="R5341"/>
      <c r="S5341"/>
    </row>
    <row r="5342" spans="18:19" x14ac:dyDescent="0.25">
      <c r="R5342"/>
      <c r="S5342"/>
    </row>
    <row r="5343" spans="18:19" x14ac:dyDescent="0.25">
      <c r="R5343"/>
      <c r="S5343"/>
    </row>
    <row r="5344" spans="18:19" x14ac:dyDescent="0.25">
      <c r="R5344"/>
      <c r="S5344"/>
    </row>
    <row r="5345" spans="18:19" x14ac:dyDescent="0.25">
      <c r="R5345"/>
      <c r="S5345"/>
    </row>
    <row r="5346" spans="18:19" x14ac:dyDescent="0.25">
      <c r="R5346"/>
      <c r="S5346"/>
    </row>
    <row r="5347" spans="18:19" x14ac:dyDescent="0.25">
      <c r="R5347"/>
      <c r="S5347"/>
    </row>
    <row r="5348" spans="18:19" x14ac:dyDescent="0.25">
      <c r="R5348"/>
      <c r="S5348"/>
    </row>
    <row r="5349" spans="18:19" x14ac:dyDescent="0.25">
      <c r="R5349"/>
      <c r="S5349"/>
    </row>
    <row r="5350" spans="18:19" x14ac:dyDescent="0.25">
      <c r="R5350"/>
      <c r="S5350"/>
    </row>
    <row r="5351" spans="18:19" x14ac:dyDescent="0.25">
      <c r="R5351"/>
      <c r="S5351"/>
    </row>
    <row r="5352" spans="18:19" x14ac:dyDescent="0.25">
      <c r="R5352"/>
      <c r="S5352"/>
    </row>
    <row r="5353" spans="18:19" x14ac:dyDescent="0.25">
      <c r="R5353"/>
      <c r="S5353"/>
    </row>
    <row r="5354" spans="18:19" x14ac:dyDescent="0.25">
      <c r="R5354"/>
      <c r="S5354"/>
    </row>
    <row r="5355" spans="18:19" x14ac:dyDescent="0.25">
      <c r="R5355"/>
      <c r="S5355"/>
    </row>
    <row r="5356" spans="18:19" x14ac:dyDescent="0.25">
      <c r="R5356"/>
      <c r="S5356"/>
    </row>
    <row r="5357" spans="18:19" x14ac:dyDescent="0.25">
      <c r="R5357"/>
      <c r="S5357"/>
    </row>
    <row r="5358" spans="18:19" x14ac:dyDescent="0.25">
      <c r="R5358"/>
      <c r="S5358"/>
    </row>
    <row r="5359" spans="18:19" x14ac:dyDescent="0.25">
      <c r="R5359"/>
      <c r="S5359"/>
    </row>
    <row r="5360" spans="18:19" x14ac:dyDescent="0.25">
      <c r="R5360"/>
      <c r="S5360"/>
    </row>
    <row r="5361" spans="18:19" x14ac:dyDescent="0.25">
      <c r="R5361"/>
      <c r="S5361"/>
    </row>
    <row r="5362" spans="18:19" x14ac:dyDescent="0.25">
      <c r="R5362"/>
      <c r="S5362"/>
    </row>
    <row r="5363" spans="18:19" x14ac:dyDescent="0.25">
      <c r="R5363"/>
      <c r="S5363"/>
    </row>
    <row r="5364" spans="18:19" x14ac:dyDescent="0.25">
      <c r="R5364"/>
      <c r="S5364"/>
    </row>
    <row r="5365" spans="18:19" x14ac:dyDescent="0.25">
      <c r="R5365"/>
      <c r="S5365"/>
    </row>
    <row r="5366" spans="18:19" x14ac:dyDescent="0.25">
      <c r="R5366"/>
      <c r="S5366"/>
    </row>
    <row r="5367" spans="18:19" x14ac:dyDescent="0.25">
      <c r="R5367"/>
      <c r="S5367"/>
    </row>
    <row r="5368" spans="18:19" x14ac:dyDescent="0.25">
      <c r="R5368"/>
      <c r="S5368"/>
    </row>
    <row r="5369" spans="18:19" x14ac:dyDescent="0.25">
      <c r="R5369"/>
      <c r="S5369"/>
    </row>
    <row r="5370" spans="18:19" x14ac:dyDescent="0.25">
      <c r="R5370"/>
      <c r="S5370"/>
    </row>
    <row r="5371" spans="18:19" x14ac:dyDescent="0.25">
      <c r="R5371"/>
      <c r="S5371"/>
    </row>
    <row r="5372" spans="18:19" x14ac:dyDescent="0.25">
      <c r="R5372"/>
      <c r="S5372"/>
    </row>
    <row r="5373" spans="18:19" x14ac:dyDescent="0.25">
      <c r="R5373"/>
      <c r="S5373"/>
    </row>
    <row r="5374" spans="18:19" x14ac:dyDescent="0.25">
      <c r="R5374"/>
      <c r="S5374"/>
    </row>
    <row r="5375" spans="18:19" x14ac:dyDescent="0.25">
      <c r="R5375"/>
      <c r="S5375"/>
    </row>
    <row r="5376" spans="18:19" x14ac:dyDescent="0.25">
      <c r="R5376"/>
      <c r="S5376"/>
    </row>
    <row r="5377" spans="18:19" x14ac:dyDescent="0.25">
      <c r="R5377"/>
      <c r="S5377"/>
    </row>
    <row r="5378" spans="18:19" x14ac:dyDescent="0.25">
      <c r="R5378"/>
      <c r="S5378"/>
    </row>
    <row r="5379" spans="18:19" x14ac:dyDescent="0.25">
      <c r="R5379"/>
      <c r="S5379"/>
    </row>
    <row r="5380" spans="18:19" x14ac:dyDescent="0.25">
      <c r="R5380"/>
      <c r="S5380"/>
    </row>
    <row r="5381" spans="18:19" x14ac:dyDescent="0.25">
      <c r="R5381"/>
      <c r="S5381"/>
    </row>
    <row r="5382" spans="18:19" x14ac:dyDescent="0.25">
      <c r="R5382"/>
      <c r="S5382"/>
    </row>
    <row r="5383" spans="18:19" x14ac:dyDescent="0.25">
      <c r="R5383"/>
      <c r="S5383"/>
    </row>
    <row r="5384" spans="18:19" x14ac:dyDescent="0.25">
      <c r="R5384"/>
      <c r="S5384"/>
    </row>
    <row r="5385" spans="18:19" x14ac:dyDescent="0.25">
      <c r="R5385"/>
      <c r="S5385"/>
    </row>
    <row r="5386" spans="18:19" x14ac:dyDescent="0.25">
      <c r="R5386"/>
      <c r="S5386"/>
    </row>
    <row r="5387" spans="18:19" x14ac:dyDescent="0.25">
      <c r="R5387"/>
      <c r="S5387"/>
    </row>
    <row r="5388" spans="18:19" x14ac:dyDescent="0.25">
      <c r="R5388"/>
      <c r="S5388"/>
    </row>
    <row r="5389" spans="18:19" x14ac:dyDescent="0.25">
      <c r="R5389"/>
      <c r="S5389"/>
    </row>
    <row r="5390" spans="18:19" x14ac:dyDescent="0.25">
      <c r="R5390"/>
      <c r="S5390"/>
    </row>
    <row r="5391" spans="18:19" x14ac:dyDescent="0.25">
      <c r="R5391"/>
      <c r="S5391"/>
    </row>
    <row r="5392" spans="18:19" x14ac:dyDescent="0.25">
      <c r="R5392"/>
      <c r="S5392"/>
    </row>
    <row r="5393" spans="18:19" x14ac:dyDescent="0.25">
      <c r="R5393"/>
      <c r="S5393"/>
    </row>
    <row r="5394" spans="18:19" x14ac:dyDescent="0.25">
      <c r="R5394"/>
      <c r="S5394"/>
    </row>
    <row r="5395" spans="18:19" x14ac:dyDescent="0.25">
      <c r="R5395"/>
      <c r="S5395"/>
    </row>
    <row r="5396" spans="18:19" x14ac:dyDescent="0.25">
      <c r="R5396"/>
      <c r="S5396"/>
    </row>
    <row r="5397" spans="18:19" x14ac:dyDescent="0.25">
      <c r="R5397"/>
      <c r="S5397"/>
    </row>
    <row r="5398" spans="18:19" x14ac:dyDescent="0.25">
      <c r="R5398"/>
      <c r="S5398"/>
    </row>
    <row r="5399" spans="18:19" x14ac:dyDescent="0.25">
      <c r="R5399"/>
      <c r="S5399"/>
    </row>
    <row r="5400" spans="18:19" x14ac:dyDescent="0.25">
      <c r="R5400"/>
      <c r="S5400"/>
    </row>
    <row r="5401" spans="18:19" x14ac:dyDescent="0.25">
      <c r="R5401"/>
      <c r="S5401"/>
    </row>
    <row r="5402" spans="18:19" x14ac:dyDescent="0.25">
      <c r="R5402"/>
      <c r="S5402"/>
    </row>
    <row r="5403" spans="18:19" x14ac:dyDescent="0.25">
      <c r="R5403"/>
      <c r="S5403"/>
    </row>
    <row r="5404" spans="18:19" x14ac:dyDescent="0.25">
      <c r="R5404"/>
      <c r="S5404"/>
    </row>
    <row r="5405" spans="18:19" x14ac:dyDescent="0.25">
      <c r="R5405"/>
      <c r="S5405"/>
    </row>
    <row r="5406" spans="18:19" x14ac:dyDescent="0.25">
      <c r="R5406"/>
      <c r="S5406"/>
    </row>
    <row r="5407" spans="18:19" x14ac:dyDescent="0.25">
      <c r="R5407"/>
      <c r="S5407"/>
    </row>
    <row r="5408" spans="18:19" x14ac:dyDescent="0.25">
      <c r="R5408"/>
      <c r="S5408"/>
    </row>
    <row r="5409" spans="18:19" x14ac:dyDescent="0.25">
      <c r="R5409"/>
      <c r="S5409"/>
    </row>
    <row r="5410" spans="18:19" x14ac:dyDescent="0.25">
      <c r="R5410"/>
      <c r="S5410"/>
    </row>
    <row r="5411" spans="18:19" x14ac:dyDescent="0.25">
      <c r="R5411"/>
      <c r="S5411"/>
    </row>
    <row r="5412" spans="18:19" x14ac:dyDescent="0.25">
      <c r="R5412"/>
      <c r="S5412"/>
    </row>
    <row r="5413" spans="18:19" x14ac:dyDescent="0.25">
      <c r="R5413"/>
      <c r="S5413"/>
    </row>
    <row r="5414" spans="18:19" x14ac:dyDescent="0.25">
      <c r="R5414"/>
      <c r="S5414"/>
    </row>
    <row r="5415" spans="18:19" x14ac:dyDescent="0.25">
      <c r="R5415"/>
      <c r="S5415"/>
    </row>
    <row r="5416" spans="18:19" x14ac:dyDescent="0.25">
      <c r="R5416"/>
      <c r="S5416"/>
    </row>
    <row r="5417" spans="18:19" x14ac:dyDescent="0.25">
      <c r="R5417"/>
      <c r="S5417"/>
    </row>
    <row r="5418" spans="18:19" x14ac:dyDescent="0.25">
      <c r="R5418"/>
      <c r="S5418"/>
    </row>
    <row r="5419" spans="18:19" x14ac:dyDescent="0.25">
      <c r="R5419"/>
      <c r="S5419"/>
    </row>
    <row r="5420" spans="18:19" x14ac:dyDescent="0.25">
      <c r="R5420"/>
      <c r="S5420"/>
    </row>
    <row r="5421" spans="18:19" x14ac:dyDescent="0.25">
      <c r="R5421"/>
      <c r="S5421"/>
    </row>
    <row r="5422" spans="18:19" x14ac:dyDescent="0.25">
      <c r="R5422"/>
      <c r="S5422"/>
    </row>
    <row r="5423" spans="18:19" x14ac:dyDescent="0.25">
      <c r="R5423"/>
      <c r="S5423"/>
    </row>
    <row r="5424" spans="18:19" x14ac:dyDescent="0.25">
      <c r="R5424"/>
      <c r="S5424"/>
    </row>
    <row r="5425" spans="18:19" x14ac:dyDescent="0.25">
      <c r="R5425"/>
      <c r="S5425"/>
    </row>
    <row r="5426" spans="18:19" x14ac:dyDescent="0.25">
      <c r="R5426"/>
      <c r="S5426"/>
    </row>
    <row r="5427" spans="18:19" x14ac:dyDescent="0.25">
      <c r="R5427"/>
      <c r="S5427"/>
    </row>
    <row r="5428" spans="18:19" x14ac:dyDescent="0.25">
      <c r="R5428"/>
      <c r="S5428"/>
    </row>
    <row r="5429" spans="18:19" x14ac:dyDescent="0.25">
      <c r="R5429"/>
      <c r="S5429"/>
    </row>
    <row r="5430" spans="18:19" x14ac:dyDescent="0.25">
      <c r="R5430"/>
      <c r="S5430"/>
    </row>
    <row r="5431" spans="18:19" x14ac:dyDescent="0.25">
      <c r="R5431"/>
      <c r="S5431"/>
    </row>
    <row r="5432" spans="18:19" x14ac:dyDescent="0.25">
      <c r="R5432"/>
      <c r="S5432"/>
    </row>
    <row r="5433" spans="18:19" x14ac:dyDescent="0.25">
      <c r="R5433"/>
      <c r="S5433"/>
    </row>
    <row r="5434" spans="18:19" x14ac:dyDescent="0.25">
      <c r="R5434"/>
      <c r="S5434"/>
    </row>
    <row r="5435" spans="18:19" x14ac:dyDescent="0.25">
      <c r="R5435"/>
      <c r="S5435"/>
    </row>
    <row r="5436" spans="18:19" x14ac:dyDescent="0.25">
      <c r="R5436"/>
      <c r="S5436"/>
    </row>
    <row r="5437" spans="18:19" x14ac:dyDescent="0.25">
      <c r="R5437"/>
      <c r="S5437"/>
    </row>
    <row r="5438" spans="18:19" x14ac:dyDescent="0.25">
      <c r="R5438"/>
      <c r="S5438"/>
    </row>
    <row r="5439" spans="18:19" x14ac:dyDescent="0.25">
      <c r="R5439"/>
      <c r="S5439"/>
    </row>
    <row r="5440" spans="18:19" x14ac:dyDescent="0.25">
      <c r="R5440"/>
      <c r="S5440"/>
    </row>
    <row r="5441" spans="18:19" x14ac:dyDescent="0.25">
      <c r="R5441"/>
      <c r="S5441"/>
    </row>
    <row r="5442" spans="18:19" x14ac:dyDescent="0.25">
      <c r="R5442"/>
      <c r="S5442"/>
    </row>
    <row r="5443" spans="18:19" x14ac:dyDescent="0.25">
      <c r="R5443"/>
      <c r="S5443"/>
    </row>
    <row r="5444" spans="18:19" x14ac:dyDescent="0.25">
      <c r="R5444"/>
      <c r="S5444"/>
    </row>
    <row r="5445" spans="18:19" x14ac:dyDescent="0.25">
      <c r="R5445"/>
      <c r="S5445"/>
    </row>
    <row r="5446" spans="18:19" x14ac:dyDescent="0.25">
      <c r="R5446"/>
      <c r="S5446"/>
    </row>
    <row r="5447" spans="18:19" x14ac:dyDescent="0.25">
      <c r="R5447"/>
      <c r="S5447"/>
    </row>
    <row r="5448" spans="18:19" x14ac:dyDescent="0.25">
      <c r="R5448"/>
      <c r="S5448"/>
    </row>
    <row r="5449" spans="18:19" x14ac:dyDescent="0.25">
      <c r="R5449"/>
      <c r="S5449"/>
    </row>
    <row r="5450" spans="18:19" x14ac:dyDescent="0.25">
      <c r="R5450"/>
      <c r="S5450"/>
    </row>
    <row r="5451" spans="18:19" x14ac:dyDescent="0.25">
      <c r="R5451"/>
      <c r="S5451"/>
    </row>
    <row r="5452" spans="18:19" x14ac:dyDescent="0.25">
      <c r="R5452"/>
      <c r="S5452"/>
    </row>
    <row r="5453" spans="18:19" x14ac:dyDescent="0.25">
      <c r="R5453"/>
      <c r="S5453"/>
    </row>
    <row r="5454" spans="18:19" x14ac:dyDescent="0.25">
      <c r="R5454"/>
      <c r="S5454"/>
    </row>
    <row r="5455" spans="18:19" x14ac:dyDescent="0.25">
      <c r="R5455"/>
      <c r="S5455"/>
    </row>
    <row r="5456" spans="18:19" x14ac:dyDescent="0.25">
      <c r="R5456"/>
      <c r="S5456"/>
    </row>
    <row r="5457" spans="18:19" x14ac:dyDescent="0.25">
      <c r="R5457"/>
      <c r="S5457"/>
    </row>
    <row r="5458" spans="18:19" x14ac:dyDescent="0.25">
      <c r="R5458"/>
      <c r="S5458"/>
    </row>
    <row r="5459" spans="18:19" x14ac:dyDescent="0.25">
      <c r="R5459"/>
      <c r="S5459"/>
    </row>
    <row r="5460" spans="18:19" x14ac:dyDescent="0.25">
      <c r="R5460"/>
      <c r="S5460"/>
    </row>
    <row r="5461" spans="18:19" x14ac:dyDescent="0.25">
      <c r="R5461"/>
      <c r="S5461"/>
    </row>
    <row r="5462" spans="18:19" x14ac:dyDescent="0.25">
      <c r="R5462"/>
      <c r="S5462"/>
    </row>
    <row r="5463" spans="18:19" x14ac:dyDescent="0.25">
      <c r="R5463"/>
      <c r="S5463"/>
    </row>
    <row r="5464" spans="18:19" x14ac:dyDescent="0.25">
      <c r="R5464"/>
      <c r="S5464"/>
    </row>
    <row r="5465" spans="18:19" x14ac:dyDescent="0.25">
      <c r="R5465"/>
      <c r="S5465"/>
    </row>
    <row r="5466" spans="18:19" x14ac:dyDescent="0.25">
      <c r="R5466"/>
      <c r="S5466"/>
    </row>
    <row r="5467" spans="18:19" x14ac:dyDescent="0.25">
      <c r="R5467"/>
      <c r="S5467"/>
    </row>
    <row r="5468" spans="18:19" x14ac:dyDescent="0.25">
      <c r="R5468"/>
      <c r="S5468"/>
    </row>
    <row r="5469" spans="18:19" x14ac:dyDescent="0.25">
      <c r="R5469"/>
      <c r="S5469"/>
    </row>
    <row r="5470" spans="18:19" x14ac:dyDescent="0.25">
      <c r="R5470"/>
      <c r="S5470"/>
    </row>
    <row r="5471" spans="18:19" x14ac:dyDescent="0.25">
      <c r="R5471"/>
      <c r="S5471"/>
    </row>
    <row r="5472" spans="18:19" x14ac:dyDescent="0.25">
      <c r="R5472"/>
      <c r="S5472"/>
    </row>
    <row r="5473" spans="18:19" x14ac:dyDescent="0.25">
      <c r="R5473"/>
      <c r="S5473"/>
    </row>
    <row r="5474" spans="18:19" x14ac:dyDescent="0.25">
      <c r="R5474"/>
      <c r="S5474"/>
    </row>
    <row r="5475" spans="18:19" x14ac:dyDescent="0.25">
      <c r="R5475"/>
      <c r="S5475"/>
    </row>
    <row r="5476" spans="18:19" x14ac:dyDescent="0.25">
      <c r="R5476"/>
      <c r="S5476"/>
    </row>
    <row r="5477" spans="18:19" x14ac:dyDescent="0.25">
      <c r="R5477"/>
      <c r="S5477"/>
    </row>
    <row r="5478" spans="18:19" x14ac:dyDescent="0.25">
      <c r="R5478"/>
      <c r="S5478"/>
    </row>
    <row r="5479" spans="18:19" x14ac:dyDescent="0.25">
      <c r="R5479"/>
      <c r="S5479"/>
    </row>
    <row r="5480" spans="18:19" x14ac:dyDescent="0.25">
      <c r="R5480"/>
      <c r="S5480"/>
    </row>
    <row r="5481" spans="18:19" x14ac:dyDescent="0.25">
      <c r="R5481"/>
      <c r="S5481"/>
    </row>
    <row r="5482" spans="18:19" x14ac:dyDescent="0.25">
      <c r="R5482"/>
      <c r="S5482"/>
    </row>
    <row r="5483" spans="18:19" x14ac:dyDescent="0.25">
      <c r="R5483"/>
      <c r="S5483"/>
    </row>
    <row r="5484" spans="18:19" x14ac:dyDescent="0.25">
      <c r="R5484"/>
      <c r="S5484"/>
    </row>
    <row r="5485" spans="18:19" x14ac:dyDescent="0.25">
      <c r="R5485"/>
      <c r="S5485"/>
    </row>
    <row r="5486" spans="18:19" x14ac:dyDescent="0.25">
      <c r="R5486"/>
      <c r="S5486"/>
    </row>
    <row r="5487" spans="18:19" x14ac:dyDescent="0.25">
      <c r="R5487"/>
      <c r="S5487"/>
    </row>
    <row r="5488" spans="18:19" x14ac:dyDescent="0.25">
      <c r="R5488"/>
      <c r="S5488"/>
    </row>
    <row r="5489" spans="18:19" x14ac:dyDescent="0.25">
      <c r="R5489"/>
      <c r="S5489"/>
    </row>
    <row r="5490" spans="18:19" x14ac:dyDescent="0.25">
      <c r="R5490"/>
      <c r="S5490"/>
    </row>
    <row r="5491" spans="18:19" x14ac:dyDescent="0.25">
      <c r="R5491"/>
      <c r="S5491"/>
    </row>
    <row r="5492" spans="18:19" x14ac:dyDescent="0.25">
      <c r="R5492"/>
      <c r="S5492"/>
    </row>
    <row r="5493" spans="18:19" x14ac:dyDescent="0.25">
      <c r="R5493"/>
      <c r="S5493"/>
    </row>
    <row r="5494" spans="18:19" x14ac:dyDescent="0.25">
      <c r="R5494"/>
      <c r="S5494"/>
    </row>
    <row r="5495" spans="18:19" x14ac:dyDescent="0.25">
      <c r="R5495"/>
      <c r="S5495"/>
    </row>
    <row r="5496" spans="18:19" x14ac:dyDescent="0.25">
      <c r="R5496"/>
      <c r="S5496"/>
    </row>
    <row r="5497" spans="18:19" x14ac:dyDescent="0.25">
      <c r="R5497"/>
      <c r="S5497"/>
    </row>
    <row r="5498" spans="18:19" x14ac:dyDescent="0.25">
      <c r="R5498"/>
      <c r="S5498"/>
    </row>
    <row r="5499" spans="18:19" x14ac:dyDescent="0.25">
      <c r="R5499"/>
      <c r="S5499"/>
    </row>
    <row r="5500" spans="18:19" x14ac:dyDescent="0.25">
      <c r="R5500"/>
      <c r="S5500"/>
    </row>
    <row r="5501" spans="18:19" x14ac:dyDescent="0.25">
      <c r="R5501"/>
      <c r="S5501"/>
    </row>
    <row r="5502" spans="18:19" x14ac:dyDescent="0.25">
      <c r="R5502"/>
      <c r="S5502"/>
    </row>
    <row r="5503" spans="18:19" x14ac:dyDescent="0.25">
      <c r="R5503"/>
      <c r="S5503"/>
    </row>
    <row r="5504" spans="18:19" x14ac:dyDescent="0.25">
      <c r="R5504"/>
      <c r="S5504"/>
    </row>
    <row r="5505" spans="18:19" x14ac:dyDescent="0.25">
      <c r="R5505"/>
      <c r="S5505"/>
    </row>
    <row r="5506" spans="18:19" x14ac:dyDescent="0.25">
      <c r="R5506"/>
      <c r="S5506"/>
    </row>
    <row r="5507" spans="18:19" x14ac:dyDescent="0.25">
      <c r="R5507"/>
      <c r="S5507"/>
    </row>
    <row r="5508" spans="18:19" x14ac:dyDescent="0.25">
      <c r="R5508"/>
      <c r="S5508"/>
    </row>
    <row r="5509" spans="18:19" x14ac:dyDescent="0.25">
      <c r="R5509"/>
      <c r="S5509"/>
    </row>
    <row r="5510" spans="18:19" x14ac:dyDescent="0.25">
      <c r="R5510"/>
      <c r="S5510"/>
    </row>
    <row r="5511" spans="18:19" x14ac:dyDescent="0.25">
      <c r="R5511"/>
      <c r="S5511"/>
    </row>
    <row r="5512" spans="18:19" x14ac:dyDescent="0.25">
      <c r="R5512"/>
      <c r="S5512"/>
    </row>
    <row r="5513" spans="18:19" x14ac:dyDescent="0.25">
      <c r="R5513"/>
      <c r="S5513"/>
    </row>
    <row r="5514" spans="18:19" x14ac:dyDescent="0.25">
      <c r="R5514"/>
      <c r="S5514"/>
    </row>
    <row r="5515" spans="18:19" x14ac:dyDescent="0.25">
      <c r="R5515"/>
      <c r="S5515"/>
    </row>
    <row r="5516" spans="18:19" x14ac:dyDescent="0.25">
      <c r="R5516"/>
      <c r="S5516"/>
    </row>
    <row r="5517" spans="18:19" x14ac:dyDescent="0.25">
      <c r="R5517"/>
      <c r="S5517"/>
    </row>
    <row r="5518" spans="18:19" x14ac:dyDescent="0.25">
      <c r="R5518"/>
      <c r="S5518"/>
    </row>
    <row r="5519" spans="18:19" x14ac:dyDescent="0.25">
      <c r="R5519"/>
      <c r="S5519"/>
    </row>
    <row r="5520" spans="18:19" x14ac:dyDescent="0.25">
      <c r="R5520"/>
      <c r="S5520"/>
    </row>
    <row r="5521" spans="18:19" x14ac:dyDescent="0.25">
      <c r="R5521"/>
      <c r="S5521"/>
    </row>
    <row r="5522" spans="18:19" x14ac:dyDescent="0.25">
      <c r="R5522"/>
      <c r="S5522"/>
    </row>
    <row r="5523" spans="18:19" x14ac:dyDescent="0.25">
      <c r="R5523"/>
      <c r="S5523"/>
    </row>
    <row r="5524" spans="18:19" x14ac:dyDescent="0.25">
      <c r="R5524"/>
      <c r="S5524"/>
    </row>
    <row r="5525" spans="18:19" x14ac:dyDescent="0.25">
      <c r="R5525"/>
      <c r="S5525"/>
    </row>
    <row r="5526" spans="18:19" x14ac:dyDescent="0.25">
      <c r="R5526"/>
      <c r="S5526"/>
    </row>
    <row r="5527" spans="18:19" x14ac:dyDescent="0.25">
      <c r="R5527"/>
      <c r="S5527"/>
    </row>
    <row r="5528" spans="18:19" x14ac:dyDescent="0.25">
      <c r="R5528"/>
      <c r="S5528"/>
    </row>
    <row r="5529" spans="18:19" x14ac:dyDescent="0.25">
      <c r="R5529"/>
      <c r="S5529"/>
    </row>
    <row r="5530" spans="18:19" x14ac:dyDescent="0.25">
      <c r="R5530"/>
      <c r="S5530"/>
    </row>
    <row r="5531" spans="18:19" x14ac:dyDescent="0.25">
      <c r="R5531"/>
      <c r="S5531"/>
    </row>
    <row r="5532" spans="18:19" x14ac:dyDescent="0.25">
      <c r="R5532"/>
      <c r="S5532"/>
    </row>
    <row r="5533" spans="18:19" x14ac:dyDescent="0.25">
      <c r="R5533"/>
      <c r="S5533"/>
    </row>
    <row r="5534" spans="18:19" x14ac:dyDescent="0.25">
      <c r="R5534"/>
      <c r="S5534"/>
    </row>
    <row r="5535" spans="18:19" x14ac:dyDescent="0.25">
      <c r="R5535"/>
      <c r="S5535"/>
    </row>
    <row r="5536" spans="18:19" x14ac:dyDescent="0.25">
      <c r="R5536"/>
      <c r="S5536"/>
    </row>
    <row r="5537" spans="18:19" x14ac:dyDescent="0.25">
      <c r="R5537"/>
      <c r="S5537"/>
    </row>
    <row r="5538" spans="18:19" x14ac:dyDescent="0.25">
      <c r="R5538"/>
      <c r="S5538"/>
    </row>
    <row r="5539" spans="18:19" x14ac:dyDescent="0.25">
      <c r="R5539"/>
      <c r="S5539"/>
    </row>
    <row r="5540" spans="18:19" x14ac:dyDescent="0.25">
      <c r="R5540"/>
      <c r="S5540"/>
    </row>
    <row r="5541" spans="18:19" x14ac:dyDescent="0.25">
      <c r="R5541"/>
      <c r="S5541"/>
    </row>
    <row r="5542" spans="18:19" x14ac:dyDescent="0.25">
      <c r="R5542"/>
      <c r="S5542"/>
    </row>
    <row r="5543" spans="18:19" x14ac:dyDescent="0.25">
      <c r="R5543"/>
      <c r="S5543"/>
    </row>
    <row r="5544" spans="18:19" x14ac:dyDescent="0.25">
      <c r="R5544"/>
      <c r="S5544"/>
    </row>
    <row r="5545" spans="18:19" x14ac:dyDescent="0.25">
      <c r="R5545"/>
      <c r="S5545"/>
    </row>
    <row r="5546" spans="18:19" x14ac:dyDescent="0.25">
      <c r="R5546"/>
      <c r="S5546"/>
    </row>
    <row r="5547" spans="18:19" x14ac:dyDescent="0.25">
      <c r="R5547"/>
      <c r="S5547"/>
    </row>
    <row r="5548" spans="18:19" x14ac:dyDescent="0.25">
      <c r="R5548"/>
      <c r="S5548"/>
    </row>
    <row r="5549" spans="18:19" x14ac:dyDescent="0.25">
      <c r="R5549"/>
      <c r="S5549"/>
    </row>
    <row r="5550" spans="18:19" x14ac:dyDescent="0.25">
      <c r="R5550"/>
      <c r="S5550"/>
    </row>
    <row r="5551" spans="18:19" x14ac:dyDescent="0.25">
      <c r="R5551"/>
      <c r="S5551"/>
    </row>
    <row r="5552" spans="18:19" x14ac:dyDescent="0.25">
      <c r="R5552"/>
      <c r="S5552"/>
    </row>
    <row r="5553" spans="18:19" x14ac:dyDescent="0.25">
      <c r="R5553"/>
      <c r="S5553"/>
    </row>
    <row r="5554" spans="18:19" x14ac:dyDescent="0.25">
      <c r="R5554"/>
      <c r="S5554"/>
    </row>
    <row r="5555" spans="18:19" x14ac:dyDescent="0.25">
      <c r="R5555"/>
      <c r="S5555"/>
    </row>
    <row r="5556" spans="18:19" x14ac:dyDescent="0.25">
      <c r="R5556"/>
      <c r="S5556"/>
    </row>
    <row r="5557" spans="18:19" x14ac:dyDescent="0.25">
      <c r="R5557"/>
      <c r="S5557"/>
    </row>
    <row r="5558" spans="18:19" x14ac:dyDescent="0.25">
      <c r="R5558"/>
      <c r="S5558"/>
    </row>
    <row r="5559" spans="18:19" x14ac:dyDescent="0.25">
      <c r="R5559"/>
      <c r="S5559"/>
    </row>
    <row r="5560" spans="18:19" x14ac:dyDescent="0.25">
      <c r="R5560"/>
      <c r="S5560"/>
    </row>
    <row r="5561" spans="18:19" x14ac:dyDescent="0.25">
      <c r="R5561"/>
      <c r="S5561"/>
    </row>
    <row r="5562" spans="18:19" x14ac:dyDescent="0.25">
      <c r="R5562"/>
      <c r="S5562"/>
    </row>
    <row r="5563" spans="18:19" x14ac:dyDescent="0.25">
      <c r="R5563"/>
      <c r="S5563"/>
    </row>
    <row r="5564" spans="18:19" x14ac:dyDescent="0.25">
      <c r="R5564"/>
      <c r="S5564"/>
    </row>
    <row r="5565" spans="18:19" x14ac:dyDescent="0.25">
      <c r="R5565"/>
      <c r="S5565"/>
    </row>
    <row r="5566" spans="18:19" x14ac:dyDescent="0.25">
      <c r="R5566"/>
      <c r="S5566"/>
    </row>
    <row r="5567" spans="18:19" x14ac:dyDescent="0.25">
      <c r="R5567"/>
      <c r="S5567"/>
    </row>
    <row r="5568" spans="18:19" x14ac:dyDescent="0.25">
      <c r="R5568"/>
      <c r="S5568"/>
    </row>
    <row r="5569" spans="18:19" x14ac:dyDescent="0.25">
      <c r="R5569"/>
      <c r="S5569"/>
    </row>
    <row r="5570" spans="18:19" x14ac:dyDescent="0.25">
      <c r="R5570"/>
      <c r="S5570"/>
    </row>
    <row r="5571" spans="18:19" x14ac:dyDescent="0.25">
      <c r="R5571"/>
      <c r="S5571"/>
    </row>
    <row r="5572" spans="18:19" x14ac:dyDescent="0.25">
      <c r="R5572"/>
      <c r="S5572"/>
    </row>
    <row r="5573" spans="18:19" x14ac:dyDescent="0.25">
      <c r="R5573"/>
      <c r="S5573"/>
    </row>
    <row r="5574" spans="18:19" x14ac:dyDescent="0.25">
      <c r="R5574"/>
      <c r="S5574"/>
    </row>
    <row r="5575" spans="18:19" x14ac:dyDescent="0.25">
      <c r="R5575"/>
      <c r="S5575"/>
    </row>
    <row r="5576" spans="18:19" x14ac:dyDescent="0.25">
      <c r="R5576"/>
      <c r="S5576"/>
    </row>
    <row r="5577" spans="18:19" x14ac:dyDescent="0.25">
      <c r="R5577"/>
      <c r="S5577"/>
    </row>
    <row r="5578" spans="18:19" x14ac:dyDescent="0.25">
      <c r="R5578"/>
      <c r="S5578"/>
    </row>
    <row r="5579" spans="18:19" x14ac:dyDescent="0.25">
      <c r="R5579"/>
      <c r="S5579"/>
    </row>
    <row r="5580" spans="18:19" x14ac:dyDescent="0.25">
      <c r="R5580"/>
      <c r="S5580"/>
    </row>
    <row r="5581" spans="18:19" x14ac:dyDescent="0.25">
      <c r="R5581"/>
      <c r="S5581"/>
    </row>
    <row r="5582" spans="18:19" x14ac:dyDescent="0.25">
      <c r="R5582"/>
      <c r="S5582"/>
    </row>
    <row r="5583" spans="18:19" x14ac:dyDescent="0.25">
      <c r="R5583"/>
      <c r="S5583"/>
    </row>
    <row r="5584" spans="18:19" x14ac:dyDescent="0.25">
      <c r="R5584"/>
      <c r="S5584"/>
    </row>
    <row r="5585" spans="18:19" x14ac:dyDescent="0.25">
      <c r="R5585"/>
      <c r="S5585"/>
    </row>
    <row r="5586" spans="18:19" x14ac:dyDescent="0.25">
      <c r="R5586"/>
      <c r="S5586"/>
    </row>
    <row r="5587" spans="18:19" x14ac:dyDescent="0.25">
      <c r="R5587"/>
      <c r="S5587"/>
    </row>
    <row r="5588" spans="18:19" x14ac:dyDescent="0.25">
      <c r="R5588"/>
      <c r="S5588"/>
    </row>
    <row r="5589" spans="18:19" x14ac:dyDescent="0.25">
      <c r="R5589"/>
      <c r="S5589"/>
    </row>
    <row r="5590" spans="18:19" x14ac:dyDescent="0.25">
      <c r="R5590"/>
      <c r="S5590"/>
    </row>
    <row r="5591" spans="18:19" x14ac:dyDescent="0.25">
      <c r="R5591"/>
      <c r="S5591"/>
    </row>
    <row r="5592" spans="18:19" x14ac:dyDescent="0.25">
      <c r="R5592"/>
      <c r="S5592"/>
    </row>
    <row r="5593" spans="18:19" x14ac:dyDescent="0.25">
      <c r="R5593"/>
      <c r="S5593"/>
    </row>
    <row r="5594" spans="18:19" x14ac:dyDescent="0.25">
      <c r="R5594"/>
      <c r="S5594"/>
    </row>
    <row r="5595" spans="18:19" x14ac:dyDescent="0.25">
      <c r="R5595"/>
      <c r="S5595"/>
    </row>
    <row r="5596" spans="18:19" x14ac:dyDescent="0.25">
      <c r="R5596"/>
      <c r="S5596"/>
    </row>
    <row r="5597" spans="18:19" x14ac:dyDescent="0.25">
      <c r="R5597"/>
      <c r="S5597"/>
    </row>
    <row r="5598" spans="18:19" x14ac:dyDescent="0.25">
      <c r="R5598"/>
      <c r="S5598"/>
    </row>
    <row r="5599" spans="18:19" x14ac:dyDescent="0.25">
      <c r="R5599"/>
      <c r="S5599"/>
    </row>
    <row r="5600" spans="18:19" x14ac:dyDescent="0.25">
      <c r="R5600"/>
      <c r="S5600"/>
    </row>
    <row r="5601" spans="18:19" x14ac:dyDescent="0.25">
      <c r="R5601"/>
      <c r="S5601"/>
    </row>
    <row r="5602" spans="18:19" x14ac:dyDescent="0.25">
      <c r="R5602"/>
      <c r="S5602"/>
    </row>
    <row r="5603" spans="18:19" x14ac:dyDescent="0.25">
      <c r="R5603"/>
      <c r="S5603"/>
    </row>
    <row r="5604" spans="18:19" x14ac:dyDescent="0.25">
      <c r="R5604"/>
      <c r="S5604"/>
    </row>
    <row r="5605" spans="18:19" x14ac:dyDescent="0.25">
      <c r="R5605"/>
      <c r="S5605"/>
    </row>
    <row r="5606" spans="18:19" x14ac:dyDescent="0.25">
      <c r="R5606"/>
      <c r="S5606"/>
    </row>
    <row r="5607" spans="18:19" x14ac:dyDescent="0.25">
      <c r="R5607"/>
      <c r="S5607"/>
    </row>
    <row r="5608" spans="18:19" x14ac:dyDescent="0.25">
      <c r="R5608"/>
      <c r="S5608"/>
    </row>
    <row r="5609" spans="18:19" x14ac:dyDescent="0.25">
      <c r="R5609"/>
      <c r="S5609"/>
    </row>
    <row r="5610" spans="18:19" x14ac:dyDescent="0.25">
      <c r="R5610"/>
      <c r="S5610"/>
    </row>
    <row r="5611" spans="18:19" x14ac:dyDescent="0.25">
      <c r="R5611"/>
      <c r="S5611"/>
    </row>
    <row r="5612" spans="18:19" x14ac:dyDescent="0.25">
      <c r="R5612"/>
      <c r="S5612"/>
    </row>
    <row r="5613" spans="18:19" x14ac:dyDescent="0.25">
      <c r="R5613"/>
      <c r="S5613"/>
    </row>
    <row r="5614" spans="18:19" x14ac:dyDescent="0.25">
      <c r="R5614"/>
      <c r="S5614"/>
    </row>
    <row r="5615" spans="18:19" x14ac:dyDescent="0.25">
      <c r="R5615"/>
      <c r="S5615"/>
    </row>
    <row r="5616" spans="18:19" x14ac:dyDescent="0.25">
      <c r="R5616"/>
      <c r="S5616"/>
    </row>
    <row r="5617" spans="18:19" x14ac:dyDescent="0.25">
      <c r="R5617"/>
      <c r="S5617"/>
    </row>
    <row r="5618" spans="18:19" x14ac:dyDescent="0.25">
      <c r="R5618"/>
      <c r="S5618"/>
    </row>
    <row r="5619" spans="18:19" x14ac:dyDescent="0.25">
      <c r="R5619"/>
      <c r="S5619"/>
    </row>
    <row r="5620" spans="18:19" x14ac:dyDescent="0.25">
      <c r="R5620"/>
      <c r="S5620"/>
    </row>
    <row r="5621" spans="18:19" x14ac:dyDescent="0.25">
      <c r="R5621"/>
      <c r="S5621"/>
    </row>
    <row r="5622" spans="18:19" x14ac:dyDescent="0.25">
      <c r="R5622"/>
      <c r="S5622"/>
    </row>
    <row r="5623" spans="18:19" x14ac:dyDescent="0.25">
      <c r="R5623"/>
      <c r="S5623"/>
    </row>
    <row r="5624" spans="18:19" x14ac:dyDescent="0.25">
      <c r="R5624"/>
      <c r="S5624"/>
    </row>
    <row r="5625" spans="18:19" x14ac:dyDescent="0.25">
      <c r="R5625"/>
      <c r="S5625"/>
    </row>
    <row r="5626" spans="18:19" x14ac:dyDescent="0.25">
      <c r="R5626"/>
      <c r="S5626"/>
    </row>
    <row r="5627" spans="18:19" x14ac:dyDescent="0.25">
      <c r="R5627"/>
      <c r="S5627"/>
    </row>
    <row r="5628" spans="18:19" x14ac:dyDescent="0.25">
      <c r="R5628"/>
      <c r="S5628"/>
    </row>
    <row r="5629" spans="18:19" x14ac:dyDescent="0.25">
      <c r="R5629"/>
      <c r="S5629"/>
    </row>
    <row r="5630" spans="18:19" x14ac:dyDescent="0.25">
      <c r="R5630"/>
      <c r="S5630"/>
    </row>
    <row r="5631" spans="18:19" x14ac:dyDescent="0.25">
      <c r="R5631"/>
      <c r="S5631"/>
    </row>
    <row r="5632" spans="18:19" x14ac:dyDescent="0.25">
      <c r="R5632"/>
      <c r="S5632"/>
    </row>
    <row r="5633" spans="18:19" x14ac:dyDescent="0.25">
      <c r="R5633"/>
      <c r="S5633"/>
    </row>
    <row r="5634" spans="18:19" x14ac:dyDescent="0.25">
      <c r="R5634"/>
      <c r="S5634"/>
    </row>
    <row r="5635" spans="18:19" x14ac:dyDescent="0.25">
      <c r="R5635"/>
      <c r="S5635"/>
    </row>
    <row r="5636" spans="18:19" x14ac:dyDescent="0.25">
      <c r="R5636"/>
      <c r="S5636"/>
    </row>
    <row r="5637" spans="18:19" x14ac:dyDescent="0.25">
      <c r="R5637"/>
      <c r="S5637"/>
    </row>
    <row r="5638" spans="18:19" x14ac:dyDescent="0.25">
      <c r="R5638"/>
      <c r="S5638"/>
    </row>
    <row r="5639" spans="18:19" x14ac:dyDescent="0.25">
      <c r="R5639"/>
      <c r="S5639"/>
    </row>
    <row r="5640" spans="18:19" x14ac:dyDescent="0.25">
      <c r="R5640"/>
      <c r="S5640"/>
    </row>
    <row r="5641" spans="18:19" x14ac:dyDescent="0.25">
      <c r="R5641"/>
      <c r="S5641"/>
    </row>
    <row r="5642" spans="18:19" x14ac:dyDescent="0.25">
      <c r="R5642"/>
      <c r="S5642"/>
    </row>
    <row r="5643" spans="18:19" x14ac:dyDescent="0.25">
      <c r="R5643"/>
      <c r="S5643"/>
    </row>
    <row r="5644" spans="18:19" x14ac:dyDescent="0.25">
      <c r="R5644"/>
      <c r="S5644"/>
    </row>
    <row r="5645" spans="18:19" x14ac:dyDescent="0.25">
      <c r="R5645"/>
      <c r="S5645"/>
    </row>
    <row r="5646" spans="18:19" x14ac:dyDescent="0.25">
      <c r="R5646"/>
      <c r="S5646"/>
    </row>
    <row r="5647" spans="18:19" x14ac:dyDescent="0.25">
      <c r="R5647"/>
      <c r="S5647"/>
    </row>
    <row r="5648" spans="18:19" x14ac:dyDescent="0.25">
      <c r="R5648"/>
      <c r="S5648"/>
    </row>
    <row r="5649" spans="18:19" x14ac:dyDescent="0.25">
      <c r="R5649"/>
      <c r="S5649"/>
    </row>
    <row r="5650" spans="18:19" x14ac:dyDescent="0.25">
      <c r="R5650"/>
      <c r="S5650"/>
    </row>
    <row r="5651" spans="18:19" x14ac:dyDescent="0.25">
      <c r="R5651"/>
      <c r="S5651"/>
    </row>
    <row r="5652" spans="18:19" x14ac:dyDescent="0.25">
      <c r="R5652"/>
      <c r="S5652"/>
    </row>
    <row r="5653" spans="18:19" x14ac:dyDescent="0.25">
      <c r="R5653"/>
      <c r="S5653"/>
    </row>
    <row r="5654" spans="18:19" x14ac:dyDescent="0.25">
      <c r="R5654"/>
      <c r="S5654"/>
    </row>
    <row r="5655" spans="18:19" x14ac:dyDescent="0.25">
      <c r="R5655"/>
      <c r="S5655"/>
    </row>
    <row r="5656" spans="18:19" x14ac:dyDescent="0.25">
      <c r="R5656"/>
      <c r="S5656"/>
    </row>
    <row r="5657" spans="18:19" x14ac:dyDescent="0.25">
      <c r="R5657"/>
      <c r="S5657"/>
    </row>
    <row r="5658" spans="18:19" x14ac:dyDescent="0.25">
      <c r="R5658"/>
      <c r="S5658"/>
    </row>
    <row r="5659" spans="18:19" x14ac:dyDescent="0.25">
      <c r="R5659"/>
      <c r="S5659"/>
    </row>
    <row r="5660" spans="18:19" x14ac:dyDescent="0.25">
      <c r="R5660"/>
      <c r="S5660"/>
    </row>
    <row r="5661" spans="18:19" x14ac:dyDescent="0.25">
      <c r="R5661"/>
      <c r="S5661"/>
    </row>
    <row r="5662" spans="18:19" x14ac:dyDescent="0.25">
      <c r="R5662"/>
      <c r="S5662"/>
    </row>
    <row r="5663" spans="18:19" x14ac:dyDescent="0.25">
      <c r="R5663"/>
      <c r="S5663"/>
    </row>
    <row r="5664" spans="18:19" x14ac:dyDescent="0.25">
      <c r="R5664"/>
      <c r="S5664"/>
    </row>
    <row r="5665" spans="18:19" x14ac:dyDescent="0.25">
      <c r="R5665"/>
      <c r="S5665"/>
    </row>
    <row r="5666" spans="18:19" x14ac:dyDescent="0.25">
      <c r="R5666"/>
      <c r="S5666"/>
    </row>
    <row r="5667" spans="18:19" x14ac:dyDescent="0.25">
      <c r="R5667"/>
      <c r="S5667"/>
    </row>
    <row r="5668" spans="18:19" x14ac:dyDescent="0.25">
      <c r="R5668"/>
      <c r="S5668"/>
    </row>
    <row r="5669" spans="18:19" x14ac:dyDescent="0.25">
      <c r="R5669"/>
      <c r="S5669"/>
    </row>
    <row r="5670" spans="18:19" x14ac:dyDescent="0.25">
      <c r="R5670"/>
      <c r="S5670"/>
    </row>
    <row r="5671" spans="18:19" x14ac:dyDescent="0.25">
      <c r="R5671"/>
      <c r="S5671"/>
    </row>
    <row r="5672" spans="18:19" x14ac:dyDescent="0.25">
      <c r="R5672"/>
      <c r="S5672"/>
    </row>
    <row r="5673" spans="18:19" x14ac:dyDescent="0.25">
      <c r="R5673"/>
      <c r="S5673"/>
    </row>
    <row r="5674" spans="18:19" x14ac:dyDescent="0.25">
      <c r="R5674"/>
      <c r="S5674"/>
    </row>
    <row r="5675" spans="18:19" x14ac:dyDescent="0.25">
      <c r="R5675"/>
      <c r="S5675"/>
    </row>
    <row r="5676" spans="18:19" x14ac:dyDescent="0.25">
      <c r="R5676"/>
      <c r="S5676"/>
    </row>
    <row r="5677" spans="18:19" x14ac:dyDescent="0.25">
      <c r="R5677"/>
      <c r="S5677"/>
    </row>
    <row r="5678" spans="18:19" x14ac:dyDescent="0.25">
      <c r="R5678"/>
      <c r="S5678"/>
    </row>
    <row r="5679" spans="18:19" x14ac:dyDescent="0.25">
      <c r="R5679"/>
      <c r="S5679"/>
    </row>
    <row r="5680" spans="18:19" x14ac:dyDescent="0.25">
      <c r="R5680"/>
      <c r="S5680"/>
    </row>
    <row r="5681" spans="18:19" x14ac:dyDescent="0.25">
      <c r="R5681"/>
      <c r="S5681"/>
    </row>
    <row r="5682" spans="18:19" x14ac:dyDescent="0.25">
      <c r="R5682"/>
      <c r="S5682"/>
    </row>
    <row r="5683" spans="18:19" x14ac:dyDescent="0.25">
      <c r="R5683"/>
      <c r="S5683"/>
    </row>
    <row r="5684" spans="18:19" x14ac:dyDescent="0.25">
      <c r="R5684"/>
      <c r="S5684"/>
    </row>
    <row r="5685" spans="18:19" x14ac:dyDescent="0.25">
      <c r="R5685"/>
      <c r="S5685"/>
    </row>
    <row r="5686" spans="18:19" x14ac:dyDescent="0.25">
      <c r="R5686"/>
      <c r="S5686"/>
    </row>
    <row r="5687" spans="18:19" x14ac:dyDescent="0.25">
      <c r="R5687"/>
      <c r="S5687"/>
    </row>
    <row r="5688" spans="18:19" x14ac:dyDescent="0.25">
      <c r="R5688"/>
      <c r="S5688"/>
    </row>
    <row r="5689" spans="18:19" x14ac:dyDescent="0.25">
      <c r="R5689"/>
      <c r="S5689"/>
    </row>
    <row r="5690" spans="18:19" x14ac:dyDescent="0.25">
      <c r="R5690"/>
      <c r="S5690"/>
    </row>
    <row r="5691" spans="18:19" x14ac:dyDescent="0.25">
      <c r="R5691"/>
      <c r="S5691"/>
    </row>
    <row r="5692" spans="18:19" x14ac:dyDescent="0.25">
      <c r="R5692"/>
      <c r="S5692"/>
    </row>
    <row r="5693" spans="18:19" x14ac:dyDescent="0.25">
      <c r="R5693"/>
      <c r="S5693"/>
    </row>
    <row r="5694" spans="18:19" x14ac:dyDescent="0.25">
      <c r="R5694"/>
      <c r="S5694"/>
    </row>
    <row r="5695" spans="18:19" x14ac:dyDescent="0.25">
      <c r="R5695"/>
      <c r="S5695"/>
    </row>
    <row r="5696" spans="18:19" x14ac:dyDescent="0.25">
      <c r="R5696"/>
      <c r="S5696"/>
    </row>
    <row r="5697" spans="18:19" x14ac:dyDescent="0.25">
      <c r="R5697"/>
      <c r="S5697"/>
    </row>
    <row r="5698" spans="18:19" x14ac:dyDescent="0.25">
      <c r="R5698"/>
      <c r="S5698"/>
    </row>
    <row r="5699" spans="18:19" x14ac:dyDescent="0.25">
      <c r="R5699"/>
      <c r="S5699"/>
    </row>
    <row r="5700" spans="18:19" x14ac:dyDescent="0.25">
      <c r="R5700"/>
      <c r="S5700"/>
    </row>
    <row r="5701" spans="18:19" x14ac:dyDescent="0.25">
      <c r="R5701"/>
      <c r="S5701"/>
    </row>
    <row r="5702" spans="18:19" x14ac:dyDescent="0.25">
      <c r="R5702"/>
      <c r="S5702"/>
    </row>
    <row r="5703" spans="18:19" x14ac:dyDescent="0.25">
      <c r="R5703"/>
      <c r="S5703"/>
    </row>
    <row r="5704" spans="18:19" x14ac:dyDescent="0.25">
      <c r="R5704"/>
      <c r="S5704"/>
    </row>
    <row r="5705" spans="18:19" x14ac:dyDescent="0.25">
      <c r="R5705"/>
      <c r="S5705"/>
    </row>
    <row r="5706" spans="18:19" x14ac:dyDescent="0.25">
      <c r="R5706"/>
      <c r="S5706"/>
    </row>
    <row r="5707" spans="18:19" x14ac:dyDescent="0.25">
      <c r="R5707"/>
      <c r="S5707"/>
    </row>
    <row r="5708" spans="18:19" x14ac:dyDescent="0.25">
      <c r="R5708"/>
      <c r="S5708"/>
    </row>
    <row r="5709" spans="18:19" x14ac:dyDescent="0.25">
      <c r="R5709"/>
      <c r="S5709"/>
    </row>
    <row r="5710" spans="18:19" x14ac:dyDescent="0.25">
      <c r="R5710"/>
      <c r="S5710"/>
    </row>
    <row r="5711" spans="18:19" x14ac:dyDescent="0.25">
      <c r="R5711"/>
      <c r="S5711"/>
    </row>
    <row r="5712" spans="18:19" x14ac:dyDescent="0.25">
      <c r="R5712"/>
      <c r="S5712"/>
    </row>
    <row r="5713" spans="18:19" x14ac:dyDescent="0.25">
      <c r="R5713"/>
      <c r="S5713"/>
    </row>
    <row r="5714" spans="18:19" x14ac:dyDescent="0.25">
      <c r="R5714"/>
      <c r="S5714"/>
    </row>
    <row r="5715" spans="18:19" x14ac:dyDescent="0.25">
      <c r="R5715"/>
      <c r="S5715"/>
    </row>
    <row r="5716" spans="18:19" x14ac:dyDescent="0.25">
      <c r="R5716"/>
      <c r="S5716"/>
    </row>
    <row r="5717" spans="18:19" x14ac:dyDescent="0.25">
      <c r="R5717"/>
      <c r="S5717"/>
    </row>
    <row r="5718" spans="18:19" x14ac:dyDescent="0.25">
      <c r="R5718"/>
      <c r="S5718"/>
    </row>
    <row r="5719" spans="18:19" x14ac:dyDescent="0.25">
      <c r="R5719"/>
      <c r="S5719"/>
    </row>
    <row r="5720" spans="18:19" x14ac:dyDescent="0.25">
      <c r="R5720"/>
      <c r="S5720"/>
    </row>
    <row r="5721" spans="18:19" x14ac:dyDescent="0.25">
      <c r="R5721"/>
      <c r="S5721"/>
    </row>
    <row r="5722" spans="18:19" x14ac:dyDescent="0.25">
      <c r="R5722"/>
      <c r="S5722"/>
    </row>
    <row r="5723" spans="18:19" x14ac:dyDescent="0.25">
      <c r="R5723"/>
      <c r="S5723"/>
    </row>
    <row r="5724" spans="18:19" x14ac:dyDescent="0.25">
      <c r="R5724"/>
      <c r="S5724"/>
    </row>
    <row r="5725" spans="18:19" x14ac:dyDescent="0.25">
      <c r="R5725"/>
      <c r="S5725"/>
    </row>
    <row r="5726" spans="18:19" x14ac:dyDescent="0.25">
      <c r="R5726"/>
      <c r="S5726"/>
    </row>
    <row r="5727" spans="18:19" x14ac:dyDescent="0.25">
      <c r="R5727"/>
      <c r="S5727"/>
    </row>
    <row r="5728" spans="18:19" x14ac:dyDescent="0.25">
      <c r="R5728"/>
      <c r="S5728"/>
    </row>
    <row r="5729" spans="18:19" x14ac:dyDescent="0.25">
      <c r="R5729"/>
      <c r="S5729"/>
    </row>
    <row r="5730" spans="18:19" x14ac:dyDescent="0.25">
      <c r="R5730"/>
      <c r="S5730"/>
    </row>
    <row r="5731" spans="18:19" x14ac:dyDescent="0.25">
      <c r="R5731"/>
      <c r="S5731"/>
    </row>
    <row r="5732" spans="18:19" x14ac:dyDescent="0.25">
      <c r="R5732"/>
      <c r="S5732"/>
    </row>
    <row r="5733" spans="18:19" x14ac:dyDescent="0.25">
      <c r="R5733"/>
      <c r="S5733"/>
    </row>
    <row r="5734" spans="18:19" x14ac:dyDescent="0.25">
      <c r="R5734"/>
      <c r="S5734"/>
    </row>
    <row r="5735" spans="18:19" x14ac:dyDescent="0.25">
      <c r="R5735"/>
      <c r="S5735"/>
    </row>
    <row r="5736" spans="18:19" x14ac:dyDescent="0.25">
      <c r="R5736"/>
      <c r="S5736"/>
    </row>
    <row r="5737" spans="18:19" x14ac:dyDescent="0.25">
      <c r="R5737"/>
      <c r="S5737"/>
    </row>
    <row r="5738" spans="18:19" x14ac:dyDescent="0.25">
      <c r="R5738"/>
      <c r="S5738"/>
    </row>
    <row r="5739" spans="18:19" x14ac:dyDescent="0.25">
      <c r="R5739"/>
      <c r="S5739"/>
    </row>
    <row r="5740" spans="18:19" x14ac:dyDescent="0.25">
      <c r="R5740"/>
      <c r="S5740"/>
    </row>
    <row r="5741" spans="18:19" x14ac:dyDescent="0.25">
      <c r="R5741"/>
      <c r="S5741"/>
    </row>
    <row r="5742" spans="18:19" x14ac:dyDescent="0.25">
      <c r="R5742"/>
      <c r="S5742"/>
    </row>
    <row r="5743" spans="18:19" x14ac:dyDescent="0.25">
      <c r="R5743"/>
      <c r="S5743"/>
    </row>
    <row r="5744" spans="18:19" x14ac:dyDescent="0.25">
      <c r="R5744"/>
      <c r="S5744"/>
    </row>
    <row r="5745" spans="18:19" x14ac:dyDescent="0.25">
      <c r="R5745"/>
      <c r="S5745"/>
    </row>
    <row r="5746" spans="18:19" x14ac:dyDescent="0.25">
      <c r="R5746"/>
      <c r="S5746"/>
    </row>
    <row r="5747" spans="18:19" x14ac:dyDescent="0.25">
      <c r="R5747"/>
      <c r="S5747"/>
    </row>
    <row r="5748" spans="18:19" x14ac:dyDescent="0.25">
      <c r="R5748"/>
      <c r="S5748"/>
    </row>
    <row r="5749" spans="18:19" x14ac:dyDescent="0.25">
      <c r="R5749"/>
      <c r="S5749"/>
    </row>
    <row r="5750" spans="18:19" x14ac:dyDescent="0.25">
      <c r="R5750"/>
      <c r="S5750"/>
    </row>
    <row r="5751" spans="18:19" x14ac:dyDescent="0.25">
      <c r="R5751"/>
      <c r="S5751"/>
    </row>
    <row r="5752" spans="18:19" x14ac:dyDescent="0.25">
      <c r="R5752"/>
      <c r="S5752"/>
    </row>
    <row r="5753" spans="18:19" x14ac:dyDescent="0.25">
      <c r="R5753"/>
      <c r="S5753"/>
    </row>
    <row r="5754" spans="18:19" x14ac:dyDescent="0.25">
      <c r="R5754"/>
      <c r="S5754"/>
    </row>
    <row r="5755" spans="18:19" x14ac:dyDescent="0.25">
      <c r="R5755"/>
      <c r="S5755"/>
    </row>
    <row r="5756" spans="18:19" x14ac:dyDescent="0.25">
      <c r="R5756"/>
      <c r="S5756"/>
    </row>
    <row r="5757" spans="18:19" x14ac:dyDescent="0.25">
      <c r="R5757"/>
      <c r="S5757"/>
    </row>
    <row r="5758" spans="18:19" x14ac:dyDescent="0.25">
      <c r="R5758"/>
      <c r="S5758"/>
    </row>
    <row r="5759" spans="18:19" x14ac:dyDescent="0.25">
      <c r="R5759"/>
      <c r="S5759"/>
    </row>
    <row r="5760" spans="18:19" x14ac:dyDescent="0.25">
      <c r="R5760"/>
      <c r="S5760"/>
    </row>
    <row r="5761" spans="18:19" x14ac:dyDescent="0.25">
      <c r="R5761"/>
      <c r="S5761"/>
    </row>
    <row r="5762" spans="18:19" x14ac:dyDescent="0.25">
      <c r="R5762"/>
      <c r="S5762"/>
    </row>
    <row r="5763" spans="18:19" x14ac:dyDescent="0.25">
      <c r="R5763"/>
      <c r="S5763"/>
    </row>
    <row r="5764" spans="18:19" x14ac:dyDescent="0.25">
      <c r="R5764"/>
      <c r="S5764"/>
    </row>
    <row r="5765" spans="18:19" x14ac:dyDescent="0.25">
      <c r="R5765"/>
      <c r="S5765"/>
    </row>
    <row r="5766" spans="18:19" x14ac:dyDescent="0.25">
      <c r="R5766"/>
      <c r="S5766"/>
    </row>
    <row r="5767" spans="18:19" x14ac:dyDescent="0.25">
      <c r="R5767"/>
      <c r="S5767"/>
    </row>
    <row r="5768" spans="18:19" x14ac:dyDescent="0.25">
      <c r="R5768"/>
      <c r="S5768"/>
    </row>
    <row r="5769" spans="18:19" x14ac:dyDescent="0.25">
      <c r="R5769"/>
      <c r="S5769"/>
    </row>
    <row r="5770" spans="18:19" x14ac:dyDescent="0.25">
      <c r="R5770"/>
      <c r="S5770"/>
    </row>
    <row r="5771" spans="18:19" x14ac:dyDescent="0.25">
      <c r="R5771"/>
      <c r="S5771"/>
    </row>
    <row r="5772" spans="18:19" x14ac:dyDescent="0.25">
      <c r="R5772"/>
      <c r="S5772"/>
    </row>
    <row r="5773" spans="18:19" x14ac:dyDescent="0.25">
      <c r="R5773"/>
      <c r="S5773"/>
    </row>
    <row r="5774" spans="18:19" x14ac:dyDescent="0.25">
      <c r="R5774"/>
      <c r="S5774"/>
    </row>
    <row r="5775" spans="18:19" x14ac:dyDescent="0.25">
      <c r="R5775"/>
      <c r="S5775"/>
    </row>
    <row r="5776" spans="18:19" x14ac:dyDescent="0.25">
      <c r="R5776"/>
      <c r="S5776"/>
    </row>
    <row r="5777" spans="18:19" x14ac:dyDescent="0.25">
      <c r="R5777"/>
      <c r="S5777"/>
    </row>
    <row r="5778" spans="18:19" x14ac:dyDescent="0.25">
      <c r="R5778"/>
      <c r="S5778"/>
    </row>
    <row r="5779" spans="18:19" x14ac:dyDescent="0.25">
      <c r="R5779"/>
      <c r="S5779"/>
    </row>
    <row r="5780" spans="18:19" x14ac:dyDescent="0.25">
      <c r="R5780"/>
      <c r="S5780"/>
    </row>
    <row r="5781" spans="18:19" x14ac:dyDescent="0.25">
      <c r="R5781"/>
      <c r="S5781"/>
    </row>
    <row r="5782" spans="18:19" x14ac:dyDescent="0.25">
      <c r="R5782"/>
      <c r="S5782"/>
    </row>
    <row r="5783" spans="18:19" x14ac:dyDescent="0.25">
      <c r="R5783"/>
      <c r="S5783"/>
    </row>
    <row r="5784" spans="18:19" x14ac:dyDescent="0.25">
      <c r="R5784"/>
      <c r="S5784"/>
    </row>
    <row r="5785" spans="18:19" x14ac:dyDescent="0.25">
      <c r="R5785"/>
      <c r="S5785"/>
    </row>
    <row r="5786" spans="18:19" x14ac:dyDescent="0.25">
      <c r="R5786"/>
      <c r="S5786"/>
    </row>
    <row r="5787" spans="18:19" x14ac:dyDescent="0.25">
      <c r="R5787"/>
      <c r="S5787"/>
    </row>
    <row r="5788" spans="18:19" x14ac:dyDescent="0.25">
      <c r="R5788"/>
      <c r="S5788"/>
    </row>
    <row r="5789" spans="18:19" x14ac:dyDescent="0.25">
      <c r="R5789"/>
      <c r="S5789"/>
    </row>
    <row r="5790" spans="18:19" x14ac:dyDescent="0.25">
      <c r="R5790"/>
      <c r="S5790"/>
    </row>
    <row r="5791" spans="18:19" x14ac:dyDescent="0.25">
      <c r="R5791"/>
      <c r="S5791"/>
    </row>
    <row r="5792" spans="18:19" x14ac:dyDescent="0.25">
      <c r="R5792"/>
      <c r="S5792"/>
    </row>
    <row r="5793" spans="18:19" x14ac:dyDescent="0.25">
      <c r="R5793"/>
      <c r="S5793"/>
    </row>
    <row r="5794" spans="18:19" x14ac:dyDescent="0.25">
      <c r="R5794"/>
      <c r="S5794"/>
    </row>
    <row r="5795" spans="18:19" x14ac:dyDescent="0.25">
      <c r="R5795"/>
      <c r="S5795"/>
    </row>
    <row r="5796" spans="18:19" x14ac:dyDescent="0.25">
      <c r="R5796"/>
      <c r="S5796"/>
    </row>
    <row r="5797" spans="18:19" x14ac:dyDescent="0.25">
      <c r="R5797"/>
      <c r="S5797"/>
    </row>
    <row r="5798" spans="18:19" x14ac:dyDescent="0.25">
      <c r="R5798"/>
      <c r="S5798"/>
    </row>
    <row r="5799" spans="18:19" x14ac:dyDescent="0.25">
      <c r="R5799"/>
      <c r="S5799"/>
    </row>
    <row r="5800" spans="18:19" x14ac:dyDescent="0.25">
      <c r="R5800"/>
      <c r="S5800"/>
    </row>
    <row r="5801" spans="18:19" x14ac:dyDescent="0.25">
      <c r="R5801"/>
      <c r="S5801"/>
    </row>
    <row r="5802" spans="18:19" x14ac:dyDescent="0.25">
      <c r="R5802"/>
      <c r="S5802"/>
    </row>
    <row r="5803" spans="18:19" x14ac:dyDescent="0.25">
      <c r="R5803"/>
      <c r="S5803"/>
    </row>
    <row r="5804" spans="18:19" x14ac:dyDescent="0.25">
      <c r="R5804"/>
      <c r="S5804"/>
    </row>
    <row r="5805" spans="18:19" x14ac:dyDescent="0.25">
      <c r="R5805"/>
      <c r="S5805"/>
    </row>
    <row r="5806" spans="18:19" x14ac:dyDescent="0.25">
      <c r="R5806"/>
      <c r="S5806"/>
    </row>
    <row r="5807" spans="18:19" x14ac:dyDescent="0.25">
      <c r="R5807"/>
      <c r="S5807"/>
    </row>
    <row r="5808" spans="18:19" x14ac:dyDescent="0.25">
      <c r="R5808"/>
      <c r="S5808"/>
    </row>
    <row r="5809" spans="18:19" x14ac:dyDescent="0.25">
      <c r="R5809"/>
      <c r="S5809"/>
    </row>
    <row r="5810" spans="18:19" x14ac:dyDescent="0.25">
      <c r="R5810"/>
      <c r="S5810"/>
    </row>
    <row r="5811" spans="18:19" x14ac:dyDescent="0.25">
      <c r="R5811"/>
      <c r="S5811"/>
    </row>
    <row r="5812" spans="18:19" x14ac:dyDescent="0.25">
      <c r="R5812"/>
      <c r="S5812"/>
    </row>
    <row r="5813" spans="18:19" x14ac:dyDescent="0.25">
      <c r="R5813"/>
      <c r="S5813"/>
    </row>
    <row r="5814" spans="18:19" x14ac:dyDescent="0.25">
      <c r="R5814"/>
      <c r="S5814"/>
    </row>
    <row r="5815" spans="18:19" x14ac:dyDescent="0.25">
      <c r="R5815"/>
      <c r="S5815"/>
    </row>
    <row r="5816" spans="18:19" x14ac:dyDescent="0.25">
      <c r="R5816"/>
      <c r="S5816"/>
    </row>
    <row r="5817" spans="18:19" x14ac:dyDescent="0.25">
      <c r="R5817"/>
      <c r="S5817"/>
    </row>
    <row r="5818" spans="18:19" x14ac:dyDescent="0.25">
      <c r="R5818"/>
      <c r="S5818"/>
    </row>
    <row r="5819" spans="18:19" x14ac:dyDescent="0.25">
      <c r="R5819"/>
      <c r="S5819"/>
    </row>
    <row r="5820" spans="18:19" x14ac:dyDescent="0.25">
      <c r="R5820"/>
      <c r="S5820"/>
    </row>
    <row r="5821" spans="18:19" x14ac:dyDescent="0.25">
      <c r="R5821"/>
      <c r="S5821"/>
    </row>
    <row r="5822" spans="18:19" x14ac:dyDescent="0.25">
      <c r="R5822"/>
      <c r="S5822"/>
    </row>
    <row r="5823" spans="18:19" x14ac:dyDescent="0.25">
      <c r="R5823"/>
      <c r="S5823"/>
    </row>
    <row r="5824" spans="18:19" x14ac:dyDescent="0.25">
      <c r="R5824"/>
      <c r="S5824"/>
    </row>
    <row r="5825" spans="18:19" x14ac:dyDescent="0.25">
      <c r="R5825"/>
      <c r="S5825"/>
    </row>
    <row r="5826" spans="18:19" x14ac:dyDescent="0.25">
      <c r="R5826"/>
      <c r="S5826"/>
    </row>
    <row r="5827" spans="18:19" x14ac:dyDescent="0.25">
      <c r="R5827"/>
      <c r="S5827"/>
    </row>
    <row r="5828" spans="18:19" x14ac:dyDescent="0.25">
      <c r="R5828"/>
      <c r="S5828"/>
    </row>
    <row r="5829" spans="18:19" x14ac:dyDescent="0.25">
      <c r="R5829"/>
      <c r="S5829"/>
    </row>
    <row r="5830" spans="18:19" x14ac:dyDescent="0.25">
      <c r="R5830"/>
      <c r="S5830"/>
    </row>
    <row r="5831" spans="18:19" x14ac:dyDescent="0.25">
      <c r="R5831"/>
      <c r="S5831"/>
    </row>
    <row r="5832" spans="18:19" x14ac:dyDescent="0.25">
      <c r="R5832"/>
      <c r="S5832"/>
    </row>
    <row r="5833" spans="18:19" x14ac:dyDescent="0.25">
      <c r="R5833"/>
      <c r="S5833"/>
    </row>
    <row r="5834" spans="18:19" x14ac:dyDescent="0.25">
      <c r="R5834"/>
      <c r="S5834"/>
    </row>
    <row r="5835" spans="18:19" x14ac:dyDescent="0.25">
      <c r="R5835"/>
      <c r="S5835"/>
    </row>
    <row r="5836" spans="18:19" x14ac:dyDescent="0.25">
      <c r="R5836"/>
      <c r="S5836"/>
    </row>
    <row r="5837" spans="18:19" x14ac:dyDescent="0.25">
      <c r="R5837"/>
      <c r="S5837"/>
    </row>
    <row r="5838" spans="18:19" x14ac:dyDescent="0.25">
      <c r="R5838"/>
      <c r="S5838"/>
    </row>
    <row r="5839" spans="18:19" x14ac:dyDescent="0.25">
      <c r="R5839"/>
      <c r="S5839"/>
    </row>
    <row r="5840" spans="18:19" x14ac:dyDescent="0.25">
      <c r="R5840"/>
      <c r="S5840"/>
    </row>
    <row r="5841" spans="18:19" x14ac:dyDescent="0.25">
      <c r="R5841"/>
      <c r="S5841"/>
    </row>
    <row r="5842" spans="18:19" x14ac:dyDescent="0.25">
      <c r="R5842"/>
      <c r="S5842"/>
    </row>
    <row r="5843" spans="18:19" x14ac:dyDescent="0.25">
      <c r="R5843"/>
      <c r="S5843"/>
    </row>
    <row r="5844" spans="18:19" x14ac:dyDescent="0.25">
      <c r="R5844"/>
      <c r="S5844"/>
    </row>
    <row r="5845" spans="18:19" x14ac:dyDescent="0.25">
      <c r="R5845"/>
      <c r="S5845"/>
    </row>
    <row r="5846" spans="18:19" x14ac:dyDescent="0.25">
      <c r="R5846"/>
      <c r="S5846"/>
    </row>
    <row r="5847" spans="18:19" x14ac:dyDescent="0.25">
      <c r="R5847"/>
      <c r="S5847"/>
    </row>
    <row r="5848" spans="18:19" x14ac:dyDescent="0.25">
      <c r="R5848"/>
      <c r="S5848"/>
    </row>
    <row r="5849" spans="18:19" x14ac:dyDescent="0.25">
      <c r="R5849"/>
      <c r="S5849"/>
    </row>
    <row r="5850" spans="18:19" x14ac:dyDescent="0.25">
      <c r="R5850"/>
      <c r="S5850"/>
    </row>
    <row r="5851" spans="18:19" x14ac:dyDescent="0.25">
      <c r="R5851"/>
      <c r="S5851"/>
    </row>
    <row r="5852" spans="18:19" x14ac:dyDescent="0.25">
      <c r="R5852"/>
      <c r="S5852"/>
    </row>
    <row r="5853" spans="18:19" x14ac:dyDescent="0.25">
      <c r="R5853"/>
      <c r="S5853"/>
    </row>
    <row r="5854" spans="18:19" x14ac:dyDescent="0.25">
      <c r="R5854"/>
      <c r="S5854"/>
    </row>
    <row r="5855" spans="18:19" x14ac:dyDescent="0.25">
      <c r="R5855"/>
      <c r="S5855"/>
    </row>
    <row r="5856" spans="18:19" x14ac:dyDescent="0.25">
      <c r="R5856"/>
      <c r="S5856"/>
    </row>
    <row r="5857" spans="18:19" x14ac:dyDescent="0.25">
      <c r="R5857"/>
      <c r="S5857"/>
    </row>
    <row r="5858" spans="18:19" x14ac:dyDescent="0.25">
      <c r="R5858"/>
      <c r="S5858"/>
    </row>
    <row r="5859" spans="18:19" x14ac:dyDescent="0.25">
      <c r="R5859"/>
      <c r="S5859"/>
    </row>
    <row r="5860" spans="18:19" x14ac:dyDescent="0.25">
      <c r="R5860"/>
      <c r="S5860"/>
    </row>
    <row r="5861" spans="18:19" x14ac:dyDescent="0.25">
      <c r="R5861"/>
      <c r="S5861"/>
    </row>
    <row r="5862" spans="18:19" x14ac:dyDescent="0.25">
      <c r="R5862"/>
      <c r="S5862"/>
    </row>
    <row r="5863" spans="18:19" x14ac:dyDescent="0.25">
      <c r="R5863"/>
      <c r="S5863"/>
    </row>
    <row r="5864" spans="18:19" x14ac:dyDescent="0.25">
      <c r="R5864"/>
      <c r="S5864"/>
    </row>
    <row r="5865" spans="18:19" x14ac:dyDescent="0.25">
      <c r="R5865"/>
      <c r="S5865"/>
    </row>
    <row r="5866" spans="18:19" x14ac:dyDescent="0.25">
      <c r="R5866"/>
      <c r="S5866"/>
    </row>
    <row r="5867" spans="18:19" x14ac:dyDescent="0.25">
      <c r="R5867"/>
      <c r="S5867"/>
    </row>
    <row r="5868" spans="18:19" x14ac:dyDescent="0.25">
      <c r="R5868"/>
      <c r="S5868"/>
    </row>
    <row r="5869" spans="18:19" x14ac:dyDescent="0.25">
      <c r="R5869"/>
      <c r="S5869"/>
    </row>
    <row r="5870" spans="18:19" x14ac:dyDescent="0.25">
      <c r="R5870"/>
      <c r="S5870"/>
    </row>
    <row r="5871" spans="18:19" x14ac:dyDescent="0.25">
      <c r="R5871"/>
      <c r="S5871"/>
    </row>
    <row r="5872" spans="18:19" x14ac:dyDescent="0.25">
      <c r="R5872"/>
      <c r="S5872"/>
    </row>
    <row r="5873" spans="18:19" x14ac:dyDescent="0.25">
      <c r="R5873"/>
      <c r="S5873"/>
    </row>
    <row r="5874" spans="18:19" x14ac:dyDescent="0.25">
      <c r="R5874"/>
      <c r="S5874"/>
    </row>
    <row r="5875" spans="18:19" x14ac:dyDescent="0.25">
      <c r="R5875"/>
      <c r="S5875"/>
    </row>
    <row r="5876" spans="18:19" x14ac:dyDescent="0.25">
      <c r="R5876"/>
      <c r="S5876"/>
    </row>
    <row r="5877" spans="18:19" x14ac:dyDescent="0.25">
      <c r="R5877"/>
      <c r="S5877"/>
    </row>
    <row r="5878" spans="18:19" x14ac:dyDescent="0.25">
      <c r="R5878"/>
      <c r="S5878"/>
    </row>
    <row r="5879" spans="18:19" x14ac:dyDescent="0.25">
      <c r="R5879"/>
      <c r="S5879"/>
    </row>
    <row r="5880" spans="18:19" x14ac:dyDescent="0.25">
      <c r="R5880"/>
      <c r="S5880"/>
    </row>
    <row r="5881" spans="18:19" x14ac:dyDescent="0.25">
      <c r="R5881"/>
      <c r="S5881"/>
    </row>
    <row r="5882" spans="18:19" x14ac:dyDescent="0.25">
      <c r="R5882"/>
      <c r="S5882"/>
    </row>
    <row r="5883" spans="18:19" x14ac:dyDescent="0.25">
      <c r="R5883"/>
      <c r="S5883"/>
    </row>
    <row r="5884" spans="18:19" x14ac:dyDescent="0.25">
      <c r="R5884"/>
      <c r="S5884"/>
    </row>
    <row r="5885" spans="18:19" x14ac:dyDescent="0.25">
      <c r="R5885"/>
      <c r="S5885"/>
    </row>
    <row r="5886" spans="18:19" x14ac:dyDescent="0.25">
      <c r="R5886"/>
      <c r="S5886"/>
    </row>
    <row r="5887" spans="18:19" x14ac:dyDescent="0.25">
      <c r="R5887"/>
      <c r="S5887"/>
    </row>
    <row r="5888" spans="18:19" x14ac:dyDescent="0.25">
      <c r="R5888"/>
      <c r="S5888"/>
    </row>
    <row r="5889" spans="18:19" x14ac:dyDescent="0.25">
      <c r="R5889"/>
      <c r="S5889"/>
    </row>
    <row r="5890" spans="18:19" x14ac:dyDescent="0.25">
      <c r="R5890"/>
      <c r="S5890"/>
    </row>
    <row r="5891" spans="18:19" x14ac:dyDescent="0.25">
      <c r="R5891"/>
      <c r="S5891"/>
    </row>
    <row r="5892" spans="18:19" x14ac:dyDescent="0.25">
      <c r="R5892"/>
      <c r="S5892"/>
    </row>
    <row r="5893" spans="18:19" x14ac:dyDescent="0.25">
      <c r="R5893"/>
      <c r="S5893"/>
    </row>
    <row r="5894" spans="18:19" x14ac:dyDescent="0.25">
      <c r="R5894"/>
      <c r="S5894"/>
    </row>
    <row r="5895" spans="18:19" x14ac:dyDescent="0.25">
      <c r="R5895"/>
      <c r="S5895"/>
    </row>
    <row r="5896" spans="18:19" x14ac:dyDescent="0.25">
      <c r="R5896"/>
      <c r="S5896"/>
    </row>
    <row r="5897" spans="18:19" x14ac:dyDescent="0.25">
      <c r="R5897"/>
      <c r="S5897"/>
    </row>
    <row r="5898" spans="18:19" x14ac:dyDescent="0.25">
      <c r="R5898"/>
      <c r="S5898"/>
    </row>
    <row r="5899" spans="18:19" x14ac:dyDescent="0.25">
      <c r="R5899"/>
      <c r="S5899"/>
    </row>
    <row r="5900" spans="18:19" x14ac:dyDescent="0.25">
      <c r="R5900"/>
      <c r="S5900"/>
    </row>
    <row r="5901" spans="18:19" x14ac:dyDescent="0.25">
      <c r="R5901"/>
      <c r="S5901"/>
    </row>
    <row r="5902" spans="18:19" x14ac:dyDescent="0.25">
      <c r="R5902"/>
      <c r="S5902"/>
    </row>
    <row r="5903" spans="18:19" x14ac:dyDescent="0.25">
      <c r="R5903"/>
      <c r="S5903"/>
    </row>
    <row r="5904" spans="18:19" x14ac:dyDescent="0.25">
      <c r="R5904"/>
      <c r="S5904"/>
    </row>
    <row r="5905" spans="18:19" x14ac:dyDescent="0.25">
      <c r="R5905"/>
      <c r="S5905"/>
    </row>
    <row r="5906" spans="18:19" x14ac:dyDescent="0.25">
      <c r="R5906"/>
      <c r="S5906"/>
    </row>
    <row r="5907" spans="18:19" x14ac:dyDescent="0.25">
      <c r="R5907"/>
      <c r="S5907"/>
    </row>
    <row r="5908" spans="18:19" x14ac:dyDescent="0.25">
      <c r="R5908"/>
      <c r="S5908"/>
    </row>
    <row r="5909" spans="18:19" x14ac:dyDescent="0.25">
      <c r="R5909"/>
      <c r="S5909"/>
    </row>
    <row r="5910" spans="18:19" x14ac:dyDescent="0.25">
      <c r="R5910"/>
      <c r="S5910"/>
    </row>
    <row r="5911" spans="18:19" x14ac:dyDescent="0.25">
      <c r="R5911"/>
      <c r="S5911"/>
    </row>
    <row r="5912" spans="18:19" x14ac:dyDescent="0.25">
      <c r="R5912"/>
      <c r="S5912"/>
    </row>
    <row r="5913" spans="18:19" x14ac:dyDescent="0.25">
      <c r="R5913"/>
      <c r="S5913"/>
    </row>
    <row r="5914" spans="18:19" x14ac:dyDescent="0.25">
      <c r="R5914"/>
      <c r="S5914"/>
    </row>
    <row r="5915" spans="18:19" x14ac:dyDescent="0.25">
      <c r="R5915"/>
      <c r="S5915"/>
    </row>
    <row r="5916" spans="18:19" x14ac:dyDescent="0.25">
      <c r="R5916"/>
      <c r="S5916"/>
    </row>
    <row r="5917" spans="18:19" x14ac:dyDescent="0.25">
      <c r="R5917"/>
      <c r="S5917"/>
    </row>
    <row r="5918" spans="18:19" x14ac:dyDescent="0.25">
      <c r="R5918"/>
      <c r="S5918"/>
    </row>
    <row r="5919" spans="18:19" x14ac:dyDescent="0.25">
      <c r="R5919"/>
      <c r="S5919"/>
    </row>
    <row r="5920" spans="18:19" x14ac:dyDescent="0.25">
      <c r="R5920"/>
      <c r="S5920"/>
    </row>
    <row r="5921" spans="18:19" x14ac:dyDescent="0.25">
      <c r="R5921"/>
      <c r="S5921"/>
    </row>
    <row r="5922" spans="18:19" x14ac:dyDescent="0.25">
      <c r="R5922"/>
      <c r="S5922"/>
    </row>
    <row r="5923" spans="18:19" x14ac:dyDescent="0.25">
      <c r="R5923"/>
      <c r="S5923"/>
    </row>
    <row r="5924" spans="18:19" x14ac:dyDescent="0.25">
      <c r="R5924"/>
      <c r="S5924"/>
    </row>
    <row r="5925" spans="18:19" x14ac:dyDescent="0.25">
      <c r="R5925"/>
      <c r="S5925"/>
    </row>
    <row r="5926" spans="18:19" x14ac:dyDescent="0.25">
      <c r="R5926"/>
      <c r="S5926"/>
    </row>
    <row r="5927" spans="18:19" x14ac:dyDescent="0.25">
      <c r="R5927"/>
      <c r="S5927"/>
    </row>
    <row r="5928" spans="18:19" x14ac:dyDescent="0.25">
      <c r="R5928"/>
      <c r="S5928"/>
    </row>
    <row r="5929" spans="18:19" x14ac:dyDescent="0.25">
      <c r="R5929"/>
      <c r="S5929"/>
    </row>
    <row r="5930" spans="18:19" x14ac:dyDescent="0.25">
      <c r="R5930"/>
      <c r="S5930"/>
    </row>
    <row r="5931" spans="18:19" x14ac:dyDescent="0.25">
      <c r="R5931"/>
      <c r="S5931"/>
    </row>
    <row r="5932" spans="18:19" x14ac:dyDescent="0.25">
      <c r="R5932"/>
      <c r="S5932"/>
    </row>
    <row r="5933" spans="18:19" x14ac:dyDescent="0.25">
      <c r="R5933"/>
      <c r="S5933"/>
    </row>
    <row r="5934" spans="18:19" x14ac:dyDescent="0.25">
      <c r="R5934"/>
      <c r="S5934"/>
    </row>
    <row r="5935" spans="18:19" x14ac:dyDescent="0.25">
      <c r="R5935"/>
      <c r="S5935"/>
    </row>
    <row r="5936" spans="18:19" x14ac:dyDescent="0.25">
      <c r="R5936"/>
      <c r="S5936"/>
    </row>
    <row r="5937" spans="18:19" x14ac:dyDescent="0.25">
      <c r="R5937"/>
      <c r="S5937"/>
    </row>
    <row r="5938" spans="18:19" x14ac:dyDescent="0.25">
      <c r="R5938"/>
      <c r="S5938"/>
    </row>
    <row r="5939" spans="18:19" x14ac:dyDescent="0.25">
      <c r="R5939"/>
      <c r="S5939"/>
    </row>
    <row r="5940" spans="18:19" x14ac:dyDescent="0.25">
      <c r="R5940"/>
      <c r="S5940"/>
    </row>
    <row r="5941" spans="18:19" x14ac:dyDescent="0.25">
      <c r="R5941"/>
      <c r="S5941"/>
    </row>
    <row r="5942" spans="18:19" x14ac:dyDescent="0.25">
      <c r="R5942"/>
      <c r="S5942"/>
    </row>
    <row r="5943" spans="18:19" x14ac:dyDescent="0.25">
      <c r="R5943"/>
      <c r="S5943"/>
    </row>
    <row r="5944" spans="18:19" x14ac:dyDescent="0.25">
      <c r="R5944"/>
      <c r="S5944"/>
    </row>
    <row r="5945" spans="18:19" x14ac:dyDescent="0.25">
      <c r="R5945"/>
      <c r="S5945"/>
    </row>
    <row r="5946" spans="18:19" x14ac:dyDescent="0.25">
      <c r="R5946"/>
      <c r="S5946"/>
    </row>
    <row r="5947" spans="18:19" x14ac:dyDescent="0.25">
      <c r="R5947"/>
      <c r="S5947"/>
    </row>
    <row r="5948" spans="18:19" x14ac:dyDescent="0.25">
      <c r="R5948"/>
      <c r="S5948"/>
    </row>
    <row r="5949" spans="18:19" x14ac:dyDescent="0.25">
      <c r="R5949"/>
      <c r="S5949"/>
    </row>
    <row r="5950" spans="18:19" x14ac:dyDescent="0.25">
      <c r="R5950"/>
      <c r="S5950"/>
    </row>
    <row r="5951" spans="18:19" x14ac:dyDescent="0.25">
      <c r="R5951"/>
      <c r="S5951"/>
    </row>
    <row r="5952" spans="18:19" x14ac:dyDescent="0.25">
      <c r="R5952"/>
      <c r="S5952"/>
    </row>
    <row r="5953" spans="18:19" x14ac:dyDescent="0.25">
      <c r="R5953"/>
      <c r="S5953"/>
    </row>
    <row r="5954" spans="18:19" x14ac:dyDescent="0.25">
      <c r="R5954"/>
      <c r="S5954"/>
    </row>
    <row r="5955" spans="18:19" x14ac:dyDescent="0.25">
      <c r="R5955"/>
      <c r="S5955"/>
    </row>
    <row r="5956" spans="18:19" x14ac:dyDescent="0.25">
      <c r="R5956"/>
      <c r="S5956"/>
    </row>
    <row r="5957" spans="18:19" x14ac:dyDescent="0.25">
      <c r="R5957"/>
      <c r="S5957"/>
    </row>
    <row r="5958" spans="18:19" x14ac:dyDescent="0.25">
      <c r="R5958"/>
      <c r="S5958"/>
    </row>
    <row r="5959" spans="18:19" x14ac:dyDescent="0.25">
      <c r="R5959"/>
      <c r="S5959"/>
    </row>
    <row r="5960" spans="18:19" x14ac:dyDescent="0.25">
      <c r="R5960"/>
      <c r="S5960"/>
    </row>
    <row r="5961" spans="18:19" x14ac:dyDescent="0.25">
      <c r="R5961"/>
      <c r="S5961"/>
    </row>
    <row r="5962" spans="18:19" x14ac:dyDescent="0.25">
      <c r="R5962"/>
      <c r="S5962"/>
    </row>
    <row r="5963" spans="18:19" x14ac:dyDescent="0.25">
      <c r="R5963"/>
      <c r="S5963"/>
    </row>
    <row r="5964" spans="18:19" x14ac:dyDescent="0.25">
      <c r="R5964"/>
      <c r="S5964"/>
    </row>
    <row r="5965" spans="18:19" x14ac:dyDescent="0.25">
      <c r="R5965"/>
      <c r="S5965"/>
    </row>
    <row r="5966" spans="18:19" x14ac:dyDescent="0.25">
      <c r="R5966"/>
      <c r="S5966"/>
    </row>
    <row r="5967" spans="18:19" x14ac:dyDescent="0.25">
      <c r="R5967"/>
      <c r="S5967"/>
    </row>
    <row r="5968" spans="18:19" x14ac:dyDescent="0.25">
      <c r="R5968"/>
      <c r="S5968"/>
    </row>
    <row r="5969" spans="18:19" x14ac:dyDescent="0.25">
      <c r="R5969"/>
      <c r="S5969"/>
    </row>
    <row r="5970" spans="18:19" x14ac:dyDescent="0.25">
      <c r="R5970"/>
      <c r="S5970"/>
    </row>
    <row r="5971" spans="18:19" x14ac:dyDescent="0.25">
      <c r="R5971"/>
      <c r="S5971"/>
    </row>
    <row r="5972" spans="18:19" x14ac:dyDescent="0.25">
      <c r="R5972"/>
      <c r="S5972"/>
    </row>
    <row r="5973" spans="18:19" x14ac:dyDescent="0.25">
      <c r="R5973"/>
      <c r="S5973"/>
    </row>
    <row r="5974" spans="18:19" x14ac:dyDescent="0.25">
      <c r="R5974"/>
      <c r="S5974"/>
    </row>
    <row r="5975" spans="18:19" x14ac:dyDescent="0.25">
      <c r="R5975"/>
      <c r="S5975"/>
    </row>
    <row r="5976" spans="18:19" x14ac:dyDescent="0.25">
      <c r="R5976"/>
      <c r="S5976"/>
    </row>
    <row r="5977" spans="18:19" x14ac:dyDescent="0.25">
      <c r="R5977"/>
      <c r="S5977"/>
    </row>
    <row r="5978" spans="18:19" x14ac:dyDescent="0.25">
      <c r="R5978"/>
      <c r="S5978"/>
    </row>
    <row r="5979" spans="18:19" x14ac:dyDescent="0.25">
      <c r="R5979"/>
      <c r="S5979"/>
    </row>
    <row r="5980" spans="18:19" x14ac:dyDescent="0.25">
      <c r="R5980"/>
      <c r="S5980"/>
    </row>
    <row r="5981" spans="18:19" x14ac:dyDescent="0.25">
      <c r="R5981"/>
      <c r="S5981"/>
    </row>
    <row r="5982" spans="18:19" x14ac:dyDescent="0.25">
      <c r="R5982"/>
      <c r="S5982"/>
    </row>
    <row r="5983" spans="18:19" x14ac:dyDescent="0.25">
      <c r="R5983"/>
      <c r="S5983"/>
    </row>
    <row r="5984" spans="18:19" x14ac:dyDescent="0.25">
      <c r="R5984"/>
      <c r="S5984"/>
    </row>
    <row r="5985" spans="18:19" x14ac:dyDescent="0.25">
      <c r="R5985"/>
      <c r="S5985"/>
    </row>
    <row r="5986" spans="18:19" x14ac:dyDescent="0.25">
      <c r="R5986"/>
      <c r="S5986"/>
    </row>
    <row r="5987" spans="18:19" x14ac:dyDescent="0.25">
      <c r="R5987"/>
      <c r="S5987"/>
    </row>
    <row r="5988" spans="18:19" x14ac:dyDescent="0.25">
      <c r="R5988"/>
      <c r="S5988"/>
    </row>
    <row r="5989" spans="18:19" x14ac:dyDescent="0.25">
      <c r="R5989"/>
      <c r="S5989"/>
    </row>
    <row r="5990" spans="18:19" x14ac:dyDescent="0.25">
      <c r="R5990"/>
      <c r="S5990"/>
    </row>
    <row r="5991" spans="18:19" x14ac:dyDescent="0.25">
      <c r="R5991"/>
      <c r="S5991"/>
    </row>
    <row r="5992" spans="18:19" x14ac:dyDescent="0.25">
      <c r="R5992"/>
      <c r="S5992"/>
    </row>
    <row r="5993" spans="18:19" x14ac:dyDescent="0.25">
      <c r="R5993"/>
      <c r="S5993"/>
    </row>
    <row r="5994" spans="18:19" x14ac:dyDescent="0.25">
      <c r="R5994"/>
      <c r="S5994"/>
    </row>
    <row r="5995" spans="18:19" x14ac:dyDescent="0.25">
      <c r="R5995"/>
      <c r="S5995"/>
    </row>
    <row r="5996" spans="18:19" x14ac:dyDescent="0.25">
      <c r="R5996"/>
      <c r="S5996"/>
    </row>
    <row r="5997" spans="18:19" x14ac:dyDescent="0.25">
      <c r="R5997"/>
      <c r="S5997"/>
    </row>
    <row r="5998" spans="18:19" x14ac:dyDescent="0.25">
      <c r="R5998"/>
      <c r="S5998"/>
    </row>
    <row r="5999" spans="18:19" x14ac:dyDescent="0.25">
      <c r="R5999"/>
      <c r="S5999"/>
    </row>
    <row r="6000" spans="18:19" x14ac:dyDescent="0.25">
      <c r="R6000"/>
      <c r="S6000"/>
    </row>
    <row r="6001" spans="18:19" x14ac:dyDescent="0.25">
      <c r="R6001"/>
      <c r="S6001"/>
    </row>
    <row r="6002" spans="18:19" x14ac:dyDescent="0.25">
      <c r="R6002"/>
      <c r="S6002"/>
    </row>
    <row r="6003" spans="18:19" x14ac:dyDescent="0.25">
      <c r="R6003"/>
      <c r="S6003"/>
    </row>
    <row r="6004" spans="18:19" x14ac:dyDescent="0.25">
      <c r="R6004"/>
      <c r="S6004"/>
    </row>
    <row r="6005" spans="18:19" x14ac:dyDescent="0.25">
      <c r="R6005"/>
      <c r="S6005"/>
    </row>
    <row r="6006" spans="18:19" x14ac:dyDescent="0.25">
      <c r="R6006"/>
      <c r="S6006"/>
    </row>
    <row r="6007" spans="18:19" x14ac:dyDescent="0.25">
      <c r="R6007"/>
      <c r="S6007"/>
    </row>
    <row r="6008" spans="18:19" x14ac:dyDescent="0.25">
      <c r="R6008"/>
      <c r="S6008"/>
    </row>
    <row r="6009" spans="18:19" x14ac:dyDescent="0.25">
      <c r="R6009"/>
      <c r="S6009"/>
    </row>
    <row r="6010" spans="18:19" x14ac:dyDescent="0.25">
      <c r="R6010"/>
      <c r="S6010"/>
    </row>
    <row r="6011" spans="18:19" x14ac:dyDescent="0.25">
      <c r="R6011"/>
      <c r="S6011"/>
    </row>
    <row r="6012" spans="18:19" x14ac:dyDescent="0.25">
      <c r="R6012"/>
      <c r="S6012"/>
    </row>
    <row r="6013" spans="18:19" x14ac:dyDescent="0.25">
      <c r="R6013"/>
      <c r="S6013"/>
    </row>
    <row r="6014" spans="18:19" x14ac:dyDescent="0.25">
      <c r="R6014"/>
      <c r="S6014"/>
    </row>
    <row r="6015" spans="18:19" x14ac:dyDescent="0.25">
      <c r="R6015"/>
      <c r="S6015"/>
    </row>
    <row r="6016" spans="18:19" x14ac:dyDescent="0.25">
      <c r="R6016"/>
      <c r="S6016"/>
    </row>
    <row r="6017" spans="18:19" x14ac:dyDescent="0.25">
      <c r="R6017"/>
      <c r="S6017"/>
    </row>
    <row r="6018" spans="18:19" x14ac:dyDescent="0.25">
      <c r="R6018"/>
      <c r="S6018"/>
    </row>
    <row r="6019" spans="18:19" x14ac:dyDescent="0.25">
      <c r="R6019"/>
      <c r="S6019"/>
    </row>
    <row r="6020" spans="18:19" x14ac:dyDescent="0.25">
      <c r="R6020"/>
      <c r="S6020"/>
    </row>
    <row r="6021" spans="18:19" x14ac:dyDescent="0.25">
      <c r="R6021"/>
      <c r="S6021"/>
    </row>
    <row r="6022" spans="18:19" x14ac:dyDescent="0.25">
      <c r="R6022"/>
      <c r="S6022"/>
    </row>
    <row r="6023" spans="18:19" x14ac:dyDescent="0.25">
      <c r="R6023"/>
      <c r="S6023"/>
    </row>
    <row r="6024" spans="18:19" x14ac:dyDescent="0.25">
      <c r="R6024"/>
      <c r="S6024"/>
    </row>
    <row r="6025" spans="18:19" x14ac:dyDescent="0.25">
      <c r="R6025"/>
      <c r="S6025"/>
    </row>
    <row r="6026" spans="18:19" x14ac:dyDescent="0.25">
      <c r="R6026"/>
      <c r="S6026"/>
    </row>
    <row r="6027" spans="18:19" x14ac:dyDescent="0.25">
      <c r="R6027"/>
      <c r="S6027"/>
    </row>
    <row r="6028" spans="18:19" x14ac:dyDescent="0.25">
      <c r="R6028"/>
      <c r="S6028"/>
    </row>
    <row r="6029" spans="18:19" x14ac:dyDescent="0.25">
      <c r="R6029"/>
      <c r="S6029"/>
    </row>
    <row r="6030" spans="18:19" x14ac:dyDescent="0.25">
      <c r="R6030"/>
      <c r="S6030"/>
    </row>
    <row r="6031" spans="18:19" x14ac:dyDescent="0.25">
      <c r="R6031"/>
      <c r="S6031"/>
    </row>
    <row r="6032" spans="18:19" x14ac:dyDescent="0.25">
      <c r="R6032"/>
      <c r="S6032"/>
    </row>
    <row r="6033" spans="18:19" x14ac:dyDescent="0.25">
      <c r="R6033"/>
      <c r="S6033"/>
    </row>
    <row r="6034" spans="18:19" x14ac:dyDescent="0.25">
      <c r="R6034"/>
      <c r="S6034"/>
    </row>
    <row r="6035" spans="18:19" x14ac:dyDescent="0.25">
      <c r="R6035"/>
      <c r="S6035"/>
    </row>
    <row r="6036" spans="18:19" x14ac:dyDescent="0.25">
      <c r="R6036"/>
      <c r="S6036"/>
    </row>
    <row r="6037" spans="18:19" x14ac:dyDescent="0.25">
      <c r="R6037"/>
      <c r="S6037"/>
    </row>
    <row r="6038" spans="18:19" x14ac:dyDescent="0.25">
      <c r="R6038"/>
      <c r="S6038"/>
    </row>
    <row r="6039" spans="18:19" x14ac:dyDescent="0.25">
      <c r="R6039"/>
      <c r="S6039"/>
    </row>
    <row r="6040" spans="18:19" x14ac:dyDescent="0.25">
      <c r="R6040"/>
      <c r="S6040"/>
    </row>
    <row r="6041" spans="18:19" x14ac:dyDescent="0.25">
      <c r="R6041"/>
      <c r="S6041"/>
    </row>
    <row r="6042" spans="18:19" x14ac:dyDescent="0.25">
      <c r="R6042"/>
      <c r="S6042"/>
    </row>
    <row r="6043" spans="18:19" x14ac:dyDescent="0.25">
      <c r="R6043"/>
      <c r="S6043"/>
    </row>
    <row r="6044" spans="18:19" x14ac:dyDescent="0.25">
      <c r="R6044"/>
      <c r="S6044"/>
    </row>
    <row r="6045" spans="18:19" x14ac:dyDescent="0.25">
      <c r="R6045"/>
      <c r="S6045"/>
    </row>
    <row r="6046" spans="18:19" x14ac:dyDescent="0.25">
      <c r="R6046"/>
      <c r="S6046"/>
    </row>
    <row r="6047" spans="18:19" x14ac:dyDescent="0.25">
      <c r="R6047"/>
      <c r="S6047"/>
    </row>
    <row r="6048" spans="18:19" x14ac:dyDescent="0.25">
      <c r="R6048"/>
      <c r="S6048"/>
    </row>
    <row r="6049" spans="18:19" x14ac:dyDescent="0.25">
      <c r="R6049"/>
      <c r="S6049"/>
    </row>
    <row r="6050" spans="18:19" x14ac:dyDescent="0.25">
      <c r="R6050"/>
      <c r="S6050"/>
    </row>
    <row r="6051" spans="18:19" x14ac:dyDescent="0.25">
      <c r="R6051"/>
      <c r="S6051"/>
    </row>
    <row r="6052" spans="18:19" x14ac:dyDescent="0.25">
      <c r="R6052"/>
      <c r="S6052"/>
    </row>
    <row r="6053" spans="18:19" x14ac:dyDescent="0.25">
      <c r="R6053"/>
      <c r="S6053"/>
    </row>
    <row r="6054" spans="18:19" x14ac:dyDescent="0.25">
      <c r="R6054"/>
      <c r="S6054"/>
    </row>
    <row r="6055" spans="18:19" x14ac:dyDescent="0.25">
      <c r="R6055"/>
      <c r="S6055"/>
    </row>
    <row r="6056" spans="18:19" x14ac:dyDescent="0.25">
      <c r="R6056"/>
      <c r="S6056"/>
    </row>
    <row r="6057" spans="18:19" x14ac:dyDescent="0.25">
      <c r="R6057"/>
      <c r="S6057"/>
    </row>
    <row r="6058" spans="18:19" x14ac:dyDescent="0.25">
      <c r="R6058"/>
      <c r="S6058"/>
    </row>
    <row r="6059" spans="18:19" x14ac:dyDescent="0.25">
      <c r="R6059"/>
      <c r="S6059"/>
    </row>
    <row r="6060" spans="18:19" x14ac:dyDescent="0.25">
      <c r="R6060"/>
      <c r="S6060"/>
    </row>
    <row r="6061" spans="18:19" x14ac:dyDescent="0.25">
      <c r="R6061"/>
      <c r="S6061"/>
    </row>
    <row r="6062" spans="18:19" x14ac:dyDescent="0.25">
      <c r="R6062"/>
      <c r="S6062"/>
    </row>
    <row r="6063" spans="18:19" x14ac:dyDescent="0.25">
      <c r="R6063"/>
      <c r="S6063"/>
    </row>
    <row r="6064" spans="18:19" x14ac:dyDescent="0.25">
      <c r="R6064"/>
      <c r="S6064"/>
    </row>
    <row r="6065" spans="18:19" x14ac:dyDescent="0.25">
      <c r="R6065"/>
      <c r="S6065"/>
    </row>
    <row r="6066" spans="18:19" x14ac:dyDescent="0.25">
      <c r="R6066"/>
      <c r="S6066"/>
    </row>
    <row r="6067" spans="18:19" x14ac:dyDescent="0.25">
      <c r="R6067"/>
      <c r="S6067"/>
    </row>
    <row r="6068" spans="18:19" x14ac:dyDescent="0.25">
      <c r="R6068"/>
      <c r="S6068"/>
    </row>
    <row r="6069" spans="18:19" x14ac:dyDescent="0.25">
      <c r="R6069"/>
      <c r="S6069"/>
    </row>
    <row r="6070" spans="18:19" x14ac:dyDescent="0.25">
      <c r="R6070"/>
      <c r="S6070"/>
    </row>
    <row r="6071" spans="18:19" x14ac:dyDescent="0.25">
      <c r="R6071"/>
      <c r="S6071"/>
    </row>
    <row r="6072" spans="18:19" x14ac:dyDescent="0.25">
      <c r="R6072"/>
      <c r="S6072"/>
    </row>
    <row r="6073" spans="18:19" x14ac:dyDescent="0.25">
      <c r="R6073"/>
      <c r="S6073"/>
    </row>
    <row r="6074" spans="18:19" x14ac:dyDescent="0.25">
      <c r="R6074"/>
      <c r="S6074"/>
    </row>
    <row r="6075" spans="18:19" x14ac:dyDescent="0.25">
      <c r="R6075"/>
      <c r="S6075"/>
    </row>
    <row r="6076" spans="18:19" x14ac:dyDescent="0.25">
      <c r="R6076"/>
      <c r="S6076"/>
    </row>
    <row r="6077" spans="18:19" x14ac:dyDescent="0.25">
      <c r="R6077"/>
      <c r="S6077"/>
    </row>
    <row r="6078" spans="18:19" x14ac:dyDescent="0.25">
      <c r="R6078"/>
      <c r="S6078"/>
    </row>
    <row r="6079" spans="18:19" x14ac:dyDescent="0.25">
      <c r="R6079"/>
      <c r="S6079"/>
    </row>
    <row r="6080" spans="18:19" x14ac:dyDescent="0.25">
      <c r="R6080"/>
      <c r="S6080"/>
    </row>
    <row r="6081" spans="18:19" x14ac:dyDescent="0.25">
      <c r="R6081"/>
      <c r="S6081"/>
    </row>
    <row r="6082" spans="18:19" x14ac:dyDescent="0.25">
      <c r="R6082"/>
      <c r="S6082"/>
    </row>
    <row r="6083" spans="18:19" x14ac:dyDescent="0.25">
      <c r="R6083"/>
      <c r="S6083"/>
    </row>
    <row r="6084" spans="18:19" x14ac:dyDescent="0.25">
      <c r="R6084"/>
      <c r="S6084"/>
    </row>
    <row r="6085" spans="18:19" x14ac:dyDescent="0.25">
      <c r="R6085"/>
      <c r="S6085"/>
    </row>
    <row r="6086" spans="18:19" x14ac:dyDescent="0.25">
      <c r="R6086"/>
      <c r="S6086"/>
    </row>
    <row r="6087" spans="18:19" x14ac:dyDescent="0.25">
      <c r="R6087"/>
      <c r="S6087"/>
    </row>
    <row r="6088" spans="18:19" x14ac:dyDescent="0.25">
      <c r="R6088"/>
      <c r="S6088"/>
    </row>
    <row r="6089" spans="18:19" x14ac:dyDescent="0.25">
      <c r="R6089"/>
      <c r="S6089"/>
    </row>
    <row r="6090" spans="18:19" x14ac:dyDescent="0.25">
      <c r="R6090"/>
      <c r="S6090"/>
    </row>
    <row r="6091" spans="18:19" x14ac:dyDescent="0.25">
      <c r="R6091"/>
      <c r="S6091"/>
    </row>
    <row r="6092" spans="18:19" x14ac:dyDescent="0.25">
      <c r="R6092"/>
      <c r="S6092"/>
    </row>
    <row r="6093" spans="18:19" x14ac:dyDescent="0.25">
      <c r="R6093"/>
      <c r="S6093"/>
    </row>
    <row r="6094" spans="18:19" x14ac:dyDescent="0.25">
      <c r="R6094"/>
      <c r="S6094"/>
    </row>
    <row r="6095" spans="18:19" x14ac:dyDescent="0.25">
      <c r="R6095"/>
      <c r="S6095"/>
    </row>
    <row r="6096" spans="18:19" x14ac:dyDescent="0.25">
      <c r="R6096"/>
      <c r="S6096"/>
    </row>
    <row r="6097" spans="18:19" x14ac:dyDescent="0.25">
      <c r="R6097"/>
      <c r="S6097"/>
    </row>
    <row r="6098" spans="18:19" x14ac:dyDescent="0.25">
      <c r="R6098"/>
      <c r="S6098"/>
    </row>
    <row r="6099" spans="18:19" x14ac:dyDescent="0.25">
      <c r="R6099"/>
      <c r="S6099"/>
    </row>
    <row r="6100" spans="18:19" x14ac:dyDescent="0.25">
      <c r="R6100"/>
      <c r="S6100"/>
    </row>
    <row r="6101" spans="18:19" x14ac:dyDescent="0.25">
      <c r="R6101"/>
      <c r="S6101"/>
    </row>
    <row r="6102" spans="18:19" x14ac:dyDescent="0.25">
      <c r="R6102"/>
      <c r="S6102"/>
    </row>
    <row r="6103" spans="18:19" x14ac:dyDescent="0.25">
      <c r="R6103"/>
      <c r="S6103"/>
    </row>
    <row r="6104" spans="18:19" x14ac:dyDescent="0.25">
      <c r="R6104"/>
      <c r="S6104"/>
    </row>
    <row r="6105" spans="18:19" x14ac:dyDescent="0.25">
      <c r="R6105"/>
      <c r="S6105"/>
    </row>
    <row r="6106" spans="18:19" x14ac:dyDescent="0.25">
      <c r="R6106"/>
      <c r="S6106"/>
    </row>
    <row r="6107" spans="18:19" x14ac:dyDescent="0.25">
      <c r="R6107"/>
      <c r="S6107"/>
    </row>
    <row r="6108" spans="18:19" x14ac:dyDescent="0.25">
      <c r="R6108"/>
      <c r="S6108"/>
    </row>
    <row r="6109" spans="18:19" x14ac:dyDescent="0.25">
      <c r="R6109"/>
      <c r="S6109"/>
    </row>
    <row r="6110" spans="18:19" x14ac:dyDescent="0.25">
      <c r="R6110"/>
      <c r="S6110"/>
    </row>
    <row r="6111" spans="18:19" x14ac:dyDescent="0.25">
      <c r="R6111"/>
      <c r="S6111"/>
    </row>
    <row r="6112" spans="18:19" x14ac:dyDescent="0.25">
      <c r="R6112"/>
      <c r="S6112"/>
    </row>
    <row r="6113" spans="18:19" x14ac:dyDescent="0.25">
      <c r="R6113"/>
      <c r="S6113"/>
    </row>
    <row r="6114" spans="18:19" x14ac:dyDescent="0.25">
      <c r="R6114"/>
      <c r="S6114"/>
    </row>
    <row r="6115" spans="18:19" x14ac:dyDescent="0.25">
      <c r="R6115"/>
      <c r="S6115"/>
    </row>
    <row r="6116" spans="18:19" x14ac:dyDescent="0.25">
      <c r="R6116"/>
      <c r="S6116"/>
    </row>
    <row r="6117" spans="18:19" x14ac:dyDescent="0.25">
      <c r="R6117"/>
      <c r="S6117"/>
    </row>
    <row r="6118" spans="18:19" x14ac:dyDescent="0.25">
      <c r="R6118"/>
      <c r="S6118"/>
    </row>
    <row r="6119" spans="18:19" x14ac:dyDescent="0.25">
      <c r="R6119"/>
      <c r="S6119"/>
    </row>
    <row r="6120" spans="18:19" x14ac:dyDescent="0.25">
      <c r="R6120"/>
      <c r="S6120"/>
    </row>
    <row r="6121" spans="18:19" x14ac:dyDescent="0.25">
      <c r="R6121"/>
      <c r="S6121"/>
    </row>
    <row r="6122" spans="18:19" x14ac:dyDescent="0.25">
      <c r="R6122"/>
      <c r="S6122"/>
    </row>
    <row r="6123" spans="18:19" x14ac:dyDescent="0.25">
      <c r="R6123"/>
      <c r="S6123"/>
    </row>
    <row r="6124" spans="18:19" x14ac:dyDescent="0.25">
      <c r="R6124"/>
      <c r="S6124"/>
    </row>
    <row r="6125" spans="18:19" x14ac:dyDescent="0.25">
      <c r="R6125"/>
      <c r="S6125"/>
    </row>
    <row r="6126" spans="18:19" x14ac:dyDescent="0.25">
      <c r="R6126"/>
      <c r="S6126"/>
    </row>
    <row r="6127" spans="18:19" x14ac:dyDescent="0.25">
      <c r="R6127"/>
      <c r="S6127"/>
    </row>
    <row r="6128" spans="18:19" x14ac:dyDescent="0.25">
      <c r="R6128"/>
      <c r="S6128"/>
    </row>
    <row r="6129" spans="18:19" x14ac:dyDescent="0.25">
      <c r="R6129"/>
      <c r="S6129"/>
    </row>
    <row r="6130" spans="18:19" x14ac:dyDescent="0.25">
      <c r="R6130"/>
      <c r="S6130"/>
    </row>
    <row r="6131" spans="18:19" x14ac:dyDescent="0.25">
      <c r="R6131"/>
      <c r="S6131"/>
    </row>
    <row r="6132" spans="18:19" x14ac:dyDescent="0.25">
      <c r="R6132"/>
      <c r="S6132"/>
    </row>
    <row r="6133" spans="18:19" x14ac:dyDescent="0.25">
      <c r="R6133"/>
      <c r="S6133"/>
    </row>
    <row r="6134" spans="18:19" x14ac:dyDescent="0.25">
      <c r="R6134"/>
      <c r="S6134"/>
    </row>
    <row r="6135" spans="18:19" x14ac:dyDescent="0.25">
      <c r="R6135"/>
      <c r="S6135"/>
    </row>
    <row r="6136" spans="18:19" x14ac:dyDescent="0.25">
      <c r="R6136"/>
      <c r="S6136"/>
    </row>
    <row r="6137" spans="18:19" x14ac:dyDescent="0.25">
      <c r="R6137"/>
      <c r="S6137"/>
    </row>
    <row r="6138" spans="18:19" x14ac:dyDescent="0.25">
      <c r="R6138"/>
      <c r="S6138"/>
    </row>
    <row r="6139" spans="18:19" x14ac:dyDescent="0.25">
      <c r="R6139"/>
      <c r="S6139"/>
    </row>
    <row r="6140" spans="18:19" x14ac:dyDescent="0.25">
      <c r="R6140"/>
      <c r="S6140"/>
    </row>
    <row r="6141" spans="18:19" x14ac:dyDescent="0.25">
      <c r="R6141"/>
      <c r="S6141"/>
    </row>
    <row r="6142" spans="18:19" x14ac:dyDescent="0.25">
      <c r="R6142"/>
      <c r="S6142"/>
    </row>
    <row r="6143" spans="18:19" x14ac:dyDescent="0.25">
      <c r="R6143"/>
      <c r="S6143"/>
    </row>
    <row r="6144" spans="18:19" x14ac:dyDescent="0.25">
      <c r="R6144"/>
      <c r="S6144"/>
    </row>
    <row r="6145" spans="18:19" x14ac:dyDescent="0.25">
      <c r="R6145"/>
      <c r="S6145"/>
    </row>
    <row r="6146" spans="18:19" x14ac:dyDescent="0.25">
      <c r="R6146"/>
      <c r="S6146"/>
    </row>
    <row r="6147" spans="18:19" x14ac:dyDescent="0.25">
      <c r="R6147"/>
      <c r="S6147"/>
    </row>
    <row r="6148" spans="18:19" x14ac:dyDescent="0.25">
      <c r="R6148"/>
      <c r="S6148"/>
    </row>
    <row r="6149" spans="18:19" x14ac:dyDescent="0.25">
      <c r="R6149"/>
      <c r="S6149"/>
    </row>
    <row r="6150" spans="18:19" x14ac:dyDescent="0.25">
      <c r="R6150"/>
      <c r="S6150"/>
    </row>
    <row r="6151" spans="18:19" x14ac:dyDescent="0.25">
      <c r="R6151"/>
      <c r="S6151"/>
    </row>
    <row r="6152" spans="18:19" x14ac:dyDescent="0.25">
      <c r="R6152"/>
      <c r="S6152"/>
    </row>
    <row r="6153" spans="18:19" x14ac:dyDescent="0.25">
      <c r="R6153"/>
      <c r="S6153"/>
    </row>
    <row r="6154" spans="18:19" x14ac:dyDescent="0.25">
      <c r="R6154"/>
      <c r="S6154"/>
    </row>
    <row r="6155" spans="18:19" x14ac:dyDescent="0.25">
      <c r="R6155"/>
      <c r="S6155"/>
    </row>
    <row r="6156" spans="18:19" x14ac:dyDescent="0.25">
      <c r="R6156"/>
      <c r="S6156"/>
    </row>
    <row r="6157" spans="18:19" x14ac:dyDescent="0.25">
      <c r="R6157"/>
      <c r="S6157"/>
    </row>
    <row r="6158" spans="18:19" x14ac:dyDescent="0.25">
      <c r="R6158"/>
      <c r="S6158"/>
    </row>
    <row r="6159" spans="18:19" x14ac:dyDescent="0.25">
      <c r="R6159"/>
      <c r="S6159"/>
    </row>
    <row r="6160" spans="18:19" x14ac:dyDescent="0.25">
      <c r="R6160"/>
      <c r="S6160"/>
    </row>
    <row r="6161" spans="18:19" x14ac:dyDescent="0.25">
      <c r="R6161"/>
      <c r="S6161"/>
    </row>
    <row r="6162" spans="18:19" x14ac:dyDescent="0.25">
      <c r="R6162"/>
      <c r="S6162"/>
    </row>
    <row r="6163" spans="18:19" x14ac:dyDescent="0.25">
      <c r="R6163"/>
      <c r="S6163"/>
    </row>
    <row r="6164" spans="18:19" x14ac:dyDescent="0.25">
      <c r="R6164"/>
      <c r="S6164"/>
    </row>
    <row r="6165" spans="18:19" x14ac:dyDescent="0.25">
      <c r="R6165"/>
      <c r="S6165"/>
    </row>
    <row r="6166" spans="18:19" x14ac:dyDescent="0.25">
      <c r="R6166"/>
      <c r="S6166"/>
    </row>
    <row r="6167" spans="18:19" x14ac:dyDescent="0.25">
      <c r="R6167"/>
      <c r="S6167"/>
    </row>
    <row r="6168" spans="18:19" x14ac:dyDescent="0.25">
      <c r="R6168"/>
      <c r="S6168"/>
    </row>
    <row r="6169" spans="18:19" x14ac:dyDescent="0.25">
      <c r="R6169"/>
      <c r="S6169"/>
    </row>
    <row r="6170" spans="18:19" x14ac:dyDescent="0.25">
      <c r="R6170"/>
      <c r="S6170"/>
    </row>
    <row r="6171" spans="18:19" x14ac:dyDescent="0.25">
      <c r="R6171"/>
      <c r="S6171"/>
    </row>
    <row r="6172" spans="18:19" x14ac:dyDescent="0.25">
      <c r="R6172"/>
      <c r="S6172"/>
    </row>
    <row r="6173" spans="18:19" x14ac:dyDescent="0.25">
      <c r="R6173"/>
      <c r="S6173"/>
    </row>
    <row r="6174" spans="18:19" x14ac:dyDescent="0.25">
      <c r="R6174"/>
      <c r="S6174"/>
    </row>
    <row r="6175" spans="18:19" x14ac:dyDescent="0.25">
      <c r="R6175"/>
      <c r="S6175"/>
    </row>
    <row r="6176" spans="18:19" x14ac:dyDescent="0.25">
      <c r="R6176"/>
      <c r="S6176"/>
    </row>
    <row r="6177" spans="18:19" x14ac:dyDescent="0.25">
      <c r="R6177"/>
      <c r="S6177"/>
    </row>
    <row r="6178" spans="18:19" x14ac:dyDescent="0.25">
      <c r="R6178"/>
      <c r="S6178"/>
    </row>
    <row r="6179" spans="18:19" x14ac:dyDescent="0.25">
      <c r="R6179"/>
      <c r="S6179"/>
    </row>
    <row r="6180" spans="18:19" x14ac:dyDescent="0.25">
      <c r="R6180"/>
      <c r="S6180"/>
    </row>
    <row r="6181" spans="18:19" x14ac:dyDescent="0.25">
      <c r="R6181"/>
      <c r="S6181"/>
    </row>
    <row r="6182" spans="18:19" x14ac:dyDescent="0.25">
      <c r="R6182"/>
      <c r="S6182"/>
    </row>
    <row r="6183" spans="18:19" x14ac:dyDescent="0.25">
      <c r="R6183"/>
      <c r="S6183"/>
    </row>
    <row r="6184" spans="18:19" x14ac:dyDescent="0.25">
      <c r="R6184"/>
      <c r="S6184"/>
    </row>
    <row r="6185" spans="18:19" x14ac:dyDescent="0.25">
      <c r="R6185"/>
      <c r="S6185"/>
    </row>
    <row r="6186" spans="18:19" x14ac:dyDescent="0.25">
      <c r="R6186"/>
      <c r="S6186"/>
    </row>
    <row r="6187" spans="18:19" x14ac:dyDescent="0.25">
      <c r="R6187"/>
      <c r="S6187"/>
    </row>
    <row r="6188" spans="18:19" x14ac:dyDescent="0.25">
      <c r="R6188"/>
      <c r="S6188"/>
    </row>
    <row r="6189" spans="18:19" x14ac:dyDescent="0.25">
      <c r="R6189"/>
      <c r="S6189"/>
    </row>
    <row r="6190" spans="18:19" x14ac:dyDescent="0.25">
      <c r="R6190"/>
      <c r="S6190"/>
    </row>
    <row r="6191" spans="18:19" x14ac:dyDescent="0.25">
      <c r="R6191"/>
      <c r="S6191"/>
    </row>
    <row r="6192" spans="18:19" x14ac:dyDescent="0.25">
      <c r="R6192"/>
      <c r="S6192"/>
    </row>
    <row r="6193" spans="18:19" x14ac:dyDescent="0.25">
      <c r="R6193"/>
      <c r="S6193"/>
    </row>
    <row r="6194" spans="18:19" x14ac:dyDescent="0.25">
      <c r="R6194"/>
      <c r="S6194"/>
    </row>
    <row r="6195" spans="18:19" x14ac:dyDescent="0.25">
      <c r="R6195"/>
      <c r="S6195"/>
    </row>
    <row r="6196" spans="18:19" x14ac:dyDescent="0.25">
      <c r="R6196"/>
      <c r="S6196"/>
    </row>
    <row r="6197" spans="18:19" x14ac:dyDescent="0.25">
      <c r="R6197"/>
      <c r="S6197"/>
    </row>
    <row r="6198" spans="18:19" x14ac:dyDescent="0.25">
      <c r="R6198"/>
      <c r="S6198"/>
    </row>
    <row r="6199" spans="18:19" x14ac:dyDescent="0.25">
      <c r="R6199"/>
      <c r="S6199"/>
    </row>
    <row r="6200" spans="18:19" x14ac:dyDescent="0.25">
      <c r="R6200"/>
      <c r="S6200"/>
    </row>
    <row r="6201" spans="18:19" x14ac:dyDescent="0.25">
      <c r="R6201"/>
      <c r="S6201"/>
    </row>
    <row r="6202" spans="18:19" x14ac:dyDescent="0.25">
      <c r="R6202"/>
      <c r="S6202"/>
    </row>
    <row r="6203" spans="18:19" x14ac:dyDescent="0.25">
      <c r="R6203"/>
      <c r="S6203"/>
    </row>
    <row r="6204" spans="18:19" x14ac:dyDescent="0.25">
      <c r="R6204"/>
      <c r="S6204"/>
    </row>
    <row r="6205" spans="18:19" x14ac:dyDescent="0.25">
      <c r="R6205"/>
      <c r="S6205"/>
    </row>
    <row r="6206" spans="18:19" x14ac:dyDescent="0.25">
      <c r="R6206"/>
      <c r="S6206"/>
    </row>
    <row r="6207" spans="18:19" x14ac:dyDescent="0.25">
      <c r="R6207"/>
      <c r="S6207"/>
    </row>
    <row r="6208" spans="18:19" x14ac:dyDescent="0.25">
      <c r="R6208"/>
      <c r="S6208"/>
    </row>
    <row r="6209" spans="18:19" x14ac:dyDescent="0.25">
      <c r="R6209"/>
      <c r="S6209"/>
    </row>
    <row r="6210" spans="18:19" x14ac:dyDescent="0.25">
      <c r="R6210"/>
      <c r="S6210"/>
    </row>
    <row r="6211" spans="18:19" x14ac:dyDescent="0.25">
      <c r="R6211"/>
      <c r="S6211"/>
    </row>
    <row r="6212" spans="18:19" x14ac:dyDescent="0.25">
      <c r="R6212"/>
      <c r="S6212"/>
    </row>
    <row r="6213" spans="18:19" x14ac:dyDescent="0.25">
      <c r="R6213"/>
      <c r="S6213"/>
    </row>
    <row r="6214" spans="18:19" x14ac:dyDescent="0.25">
      <c r="R6214"/>
      <c r="S6214"/>
    </row>
    <row r="6215" spans="18:19" x14ac:dyDescent="0.25">
      <c r="R6215"/>
      <c r="S6215"/>
    </row>
    <row r="6216" spans="18:19" x14ac:dyDescent="0.25">
      <c r="R6216"/>
      <c r="S6216"/>
    </row>
    <row r="6217" spans="18:19" x14ac:dyDescent="0.25">
      <c r="R6217"/>
      <c r="S6217"/>
    </row>
    <row r="6218" spans="18:19" x14ac:dyDescent="0.25">
      <c r="R6218"/>
      <c r="S6218"/>
    </row>
    <row r="6219" spans="18:19" x14ac:dyDescent="0.25">
      <c r="R6219"/>
      <c r="S6219"/>
    </row>
    <row r="6220" spans="18:19" x14ac:dyDescent="0.25">
      <c r="R6220"/>
      <c r="S6220"/>
    </row>
    <row r="6221" spans="18:19" x14ac:dyDescent="0.25">
      <c r="R6221"/>
      <c r="S6221"/>
    </row>
    <row r="6222" spans="18:19" x14ac:dyDescent="0.25">
      <c r="R6222"/>
      <c r="S6222"/>
    </row>
    <row r="6223" spans="18:19" x14ac:dyDescent="0.25">
      <c r="R6223"/>
      <c r="S6223"/>
    </row>
    <row r="6224" spans="18:19" x14ac:dyDescent="0.25">
      <c r="R6224"/>
      <c r="S6224"/>
    </row>
    <row r="6225" spans="18:19" x14ac:dyDescent="0.25">
      <c r="R6225"/>
      <c r="S6225"/>
    </row>
    <row r="6226" spans="18:19" x14ac:dyDescent="0.25">
      <c r="R6226"/>
      <c r="S6226"/>
    </row>
    <row r="6227" spans="18:19" x14ac:dyDescent="0.25">
      <c r="R6227"/>
      <c r="S6227"/>
    </row>
    <row r="6228" spans="18:19" x14ac:dyDescent="0.25">
      <c r="R6228"/>
      <c r="S6228"/>
    </row>
    <row r="6229" spans="18:19" x14ac:dyDescent="0.25">
      <c r="R6229"/>
      <c r="S6229"/>
    </row>
    <row r="6230" spans="18:19" x14ac:dyDescent="0.25">
      <c r="R6230"/>
      <c r="S6230"/>
    </row>
    <row r="6231" spans="18:19" x14ac:dyDescent="0.25">
      <c r="R6231"/>
      <c r="S6231"/>
    </row>
    <row r="6232" spans="18:19" x14ac:dyDescent="0.25">
      <c r="R6232"/>
      <c r="S6232"/>
    </row>
    <row r="6233" spans="18:19" x14ac:dyDescent="0.25">
      <c r="R6233"/>
      <c r="S6233"/>
    </row>
    <row r="6234" spans="18:19" x14ac:dyDescent="0.25">
      <c r="R6234"/>
      <c r="S6234"/>
    </row>
    <row r="6235" spans="18:19" x14ac:dyDescent="0.25">
      <c r="R6235"/>
      <c r="S6235"/>
    </row>
    <row r="6236" spans="18:19" x14ac:dyDescent="0.25">
      <c r="R6236"/>
      <c r="S6236"/>
    </row>
    <row r="6237" spans="18:19" x14ac:dyDescent="0.25">
      <c r="R6237"/>
      <c r="S6237"/>
    </row>
    <row r="6238" spans="18:19" x14ac:dyDescent="0.25">
      <c r="R6238"/>
      <c r="S6238"/>
    </row>
    <row r="6239" spans="18:19" x14ac:dyDescent="0.25">
      <c r="R6239"/>
      <c r="S6239"/>
    </row>
    <row r="6240" spans="18:19" x14ac:dyDescent="0.25">
      <c r="R6240"/>
      <c r="S6240"/>
    </row>
    <row r="6241" spans="18:19" x14ac:dyDescent="0.25">
      <c r="R6241"/>
      <c r="S6241"/>
    </row>
    <row r="6242" spans="18:19" x14ac:dyDescent="0.25">
      <c r="R6242"/>
      <c r="S6242"/>
    </row>
    <row r="6243" spans="18:19" x14ac:dyDescent="0.25">
      <c r="R6243"/>
      <c r="S6243"/>
    </row>
    <row r="6244" spans="18:19" x14ac:dyDescent="0.25">
      <c r="R6244"/>
      <c r="S6244"/>
    </row>
    <row r="6245" spans="18:19" x14ac:dyDescent="0.25">
      <c r="R6245"/>
      <c r="S6245"/>
    </row>
    <row r="6246" spans="18:19" x14ac:dyDescent="0.25">
      <c r="R6246"/>
      <c r="S6246"/>
    </row>
    <row r="6247" spans="18:19" x14ac:dyDescent="0.25">
      <c r="R6247"/>
      <c r="S6247"/>
    </row>
    <row r="6248" spans="18:19" x14ac:dyDescent="0.25">
      <c r="R6248"/>
      <c r="S6248"/>
    </row>
    <row r="6249" spans="18:19" x14ac:dyDescent="0.25">
      <c r="R6249"/>
      <c r="S6249"/>
    </row>
    <row r="6250" spans="18:19" x14ac:dyDescent="0.25">
      <c r="R6250"/>
      <c r="S6250"/>
    </row>
    <row r="6251" spans="18:19" x14ac:dyDescent="0.25">
      <c r="R6251"/>
      <c r="S6251"/>
    </row>
    <row r="6252" spans="18:19" x14ac:dyDescent="0.25">
      <c r="R6252"/>
      <c r="S6252"/>
    </row>
    <row r="6253" spans="18:19" x14ac:dyDescent="0.25">
      <c r="R6253"/>
      <c r="S6253"/>
    </row>
    <row r="6254" spans="18:19" x14ac:dyDescent="0.25">
      <c r="R6254"/>
      <c r="S6254"/>
    </row>
    <row r="6255" spans="18:19" x14ac:dyDescent="0.25">
      <c r="R6255"/>
      <c r="S6255"/>
    </row>
    <row r="6256" spans="18:19" x14ac:dyDescent="0.25">
      <c r="R6256"/>
      <c r="S6256"/>
    </row>
    <row r="6257" spans="18:19" x14ac:dyDescent="0.25">
      <c r="R6257"/>
      <c r="S6257"/>
    </row>
    <row r="6258" spans="18:19" x14ac:dyDescent="0.25">
      <c r="R6258"/>
      <c r="S6258"/>
    </row>
    <row r="6259" spans="18:19" x14ac:dyDescent="0.25">
      <c r="R6259"/>
      <c r="S6259"/>
    </row>
    <row r="6260" spans="18:19" x14ac:dyDescent="0.25">
      <c r="R6260"/>
      <c r="S6260"/>
    </row>
    <row r="6261" spans="18:19" x14ac:dyDescent="0.25">
      <c r="R6261"/>
      <c r="S6261"/>
    </row>
    <row r="6262" spans="18:19" x14ac:dyDescent="0.25">
      <c r="R6262"/>
      <c r="S6262"/>
    </row>
    <row r="6263" spans="18:19" x14ac:dyDescent="0.25">
      <c r="R6263"/>
      <c r="S6263"/>
    </row>
    <row r="6264" spans="18:19" x14ac:dyDescent="0.25">
      <c r="R6264"/>
      <c r="S6264"/>
    </row>
    <row r="6265" spans="18:19" x14ac:dyDescent="0.25">
      <c r="R6265"/>
      <c r="S6265"/>
    </row>
    <row r="6266" spans="18:19" x14ac:dyDescent="0.25">
      <c r="R6266"/>
      <c r="S6266"/>
    </row>
    <row r="6267" spans="18:19" x14ac:dyDescent="0.25">
      <c r="R6267"/>
      <c r="S6267"/>
    </row>
    <row r="6268" spans="18:19" x14ac:dyDescent="0.25">
      <c r="R6268"/>
      <c r="S6268"/>
    </row>
    <row r="6269" spans="18:19" x14ac:dyDescent="0.25">
      <c r="R6269"/>
      <c r="S6269"/>
    </row>
    <row r="6270" spans="18:19" x14ac:dyDescent="0.25">
      <c r="R6270"/>
      <c r="S6270"/>
    </row>
    <row r="6271" spans="18:19" x14ac:dyDescent="0.25">
      <c r="R6271"/>
      <c r="S6271"/>
    </row>
    <row r="6272" spans="18:19" x14ac:dyDescent="0.25">
      <c r="R6272"/>
      <c r="S6272"/>
    </row>
    <row r="6273" spans="18:19" x14ac:dyDescent="0.25">
      <c r="R6273"/>
      <c r="S6273"/>
    </row>
    <row r="6274" spans="18:19" x14ac:dyDescent="0.25">
      <c r="R6274"/>
      <c r="S6274"/>
    </row>
    <row r="6275" spans="18:19" x14ac:dyDescent="0.25">
      <c r="R6275"/>
      <c r="S6275"/>
    </row>
    <row r="6276" spans="18:19" x14ac:dyDescent="0.25">
      <c r="R6276"/>
      <c r="S6276"/>
    </row>
    <row r="6277" spans="18:19" x14ac:dyDescent="0.25">
      <c r="R6277"/>
      <c r="S6277"/>
    </row>
    <row r="6278" spans="18:19" x14ac:dyDescent="0.25">
      <c r="R6278"/>
      <c r="S6278"/>
    </row>
    <row r="6279" spans="18:19" x14ac:dyDescent="0.25">
      <c r="R6279"/>
      <c r="S6279"/>
    </row>
    <row r="6280" spans="18:19" x14ac:dyDescent="0.25">
      <c r="R6280"/>
      <c r="S6280"/>
    </row>
    <row r="6281" spans="18:19" x14ac:dyDescent="0.25">
      <c r="R6281"/>
      <c r="S6281"/>
    </row>
    <row r="6282" spans="18:19" x14ac:dyDescent="0.25">
      <c r="R6282"/>
      <c r="S6282"/>
    </row>
    <row r="6283" spans="18:19" x14ac:dyDescent="0.25">
      <c r="R6283"/>
      <c r="S6283"/>
    </row>
    <row r="6284" spans="18:19" x14ac:dyDescent="0.25">
      <c r="R6284"/>
      <c r="S6284"/>
    </row>
    <row r="6285" spans="18:19" x14ac:dyDescent="0.25">
      <c r="R6285"/>
      <c r="S6285"/>
    </row>
    <row r="6286" spans="18:19" x14ac:dyDescent="0.25">
      <c r="R6286"/>
      <c r="S6286"/>
    </row>
    <row r="6287" spans="18:19" x14ac:dyDescent="0.25">
      <c r="R6287"/>
      <c r="S6287"/>
    </row>
    <row r="6288" spans="18:19" x14ac:dyDescent="0.25">
      <c r="R6288"/>
      <c r="S6288"/>
    </row>
    <row r="6289" spans="18:19" x14ac:dyDescent="0.25">
      <c r="R6289"/>
      <c r="S6289"/>
    </row>
    <row r="6290" spans="18:19" x14ac:dyDescent="0.25">
      <c r="R6290"/>
      <c r="S6290"/>
    </row>
    <row r="6291" spans="18:19" x14ac:dyDescent="0.25">
      <c r="R6291"/>
      <c r="S6291"/>
    </row>
    <row r="6292" spans="18:19" x14ac:dyDescent="0.25">
      <c r="R6292"/>
      <c r="S6292"/>
    </row>
    <row r="6293" spans="18:19" x14ac:dyDescent="0.25">
      <c r="R6293"/>
      <c r="S6293"/>
    </row>
    <row r="6294" spans="18:19" x14ac:dyDescent="0.25">
      <c r="R6294"/>
      <c r="S6294"/>
    </row>
    <row r="6295" spans="18:19" x14ac:dyDescent="0.25">
      <c r="R6295"/>
      <c r="S6295"/>
    </row>
    <row r="6296" spans="18:19" x14ac:dyDescent="0.25">
      <c r="R6296"/>
      <c r="S6296"/>
    </row>
    <row r="6297" spans="18:19" x14ac:dyDescent="0.25">
      <c r="R6297"/>
      <c r="S6297"/>
    </row>
    <row r="6298" spans="18:19" x14ac:dyDescent="0.25">
      <c r="R6298"/>
      <c r="S6298"/>
    </row>
    <row r="6299" spans="18:19" x14ac:dyDescent="0.25">
      <c r="R6299"/>
      <c r="S6299"/>
    </row>
    <row r="6300" spans="18:19" x14ac:dyDescent="0.25">
      <c r="R6300"/>
      <c r="S6300"/>
    </row>
    <row r="6301" spans="18:19" x14ac:dyDescent="0.25">
      <c r="R6301"/>
      <c r="S6301"/>
    </row>
    <row r="6302" spans="18:19" x14ac:dyDescent="0.25">
      <c r="R6302"/>
      <c r="S6302"/>
    </row>
    <row r="6303" spans="18:19" x14ac:dyDescent="0.25">
      <c r="R6303"/>
      <c r="S6303"/>
    </row>
    <row r="6304" spans="18:19" x14ac:dyDescent="0.25">
      <c r="R6304"/>
      <c r="S6304"/>
    </row>
    <row r="6305" spans="18:19" x14ac:dyDescent="0.25">
      <c r="R6305"/>
      <c r="S6305"/>
    </row>
    <row r="6306" spans="18:19" x14ac:dyDescent="0.25">
      <c r="R6306"/>
      <c r="S6306"/>
    </row>
    <row r="6307" spans="18:19" x14ac:dyDescent="0.25">
      <c r="R6307"/>
      <c r="S6307"/>
    </row>
    <row r="6308" spans="18:19" x14ac:dyDescent="0.25">
      <c r="R6308"/>
      <c r="S6308"/>
    </row>
    <row r="6309" spans="18:19" x14ac:dyDescent="0.25">
      <c r="R6309"/>
      <c r="S6309"/>
    </row>
    <row r="6310" spans="18:19" x14ac:dyDescent="0.25">
      <c r="R6310"/>
      <c r="S6310"/>
    </row>
    <row r="6311" spans="18:19" x14ac:dyDescent="0.25">
      <c r="R6311"/>
      <c r="S6311"/>
    </row>
    <row r="6312" spans="18:19" x14ac:dyDescent="0.25">
      <c r="R6312"/>
      <c r="S6312"/>
    </row>
    <row r="6313" spans="18:19" x14ac:dyDescent="0.25">
      <c r="R6313"/>
      <c r="S6313"/>
    </row>
    <row r="6314" spans="18:19" x14ac:dyDescent="0.25">
      <c r="R6314"/>
      <c r="S6314"/>
    </row>
    <row r="6315" spans="18:19" x14ac:dyDescent="0.25">
      <c r="R6315"/>
      <c r="S6315"/>
    </row>
    <row r="6316" spans="18:19" x14ac:dyDescent="0.25">
      <c r="R6316"/>
      <c r="S6316"/>
    </row>
    <row r="6317" spans="18:19" x14ac:dyDescent="0.25">
      <c r="R6317"/>
      <c r="S6317"/>
    </row>
    <row r="6318" spans="18:19" x14ac:dyDescent="0.25">
      <c r="R6318"/>
      <c r="S6318"/>
    </row>
    <row r="6319" spans="18:19" x14ac:dyDescent="0.25">
      <c r="R6319"/>
      <c r="S6319"/>
    </row>
    <row r="6320" spans="18:19" x14ac:dyDescent="0.25">
      <c r="R6320"/>
      <c r="S6320"/>
    </row>
    <row r="6321" spans="18:19" x14ac:dyDescent="0.25">
      <c r="R6321"/>
      <c r="S6321"/>
    </row>
    <row r="6322" spans="18:19" x14ac:dyDescent="0.25">
      <c r="R6322"/>
      <c r="S6322"/>
    </row>
    <row r="6323" spans="18:19" x14ac:dyDescent="0.25">
      <c r="R6323"/>
      <c r="S6323"/>
    </row>
    <row r="6324" spans="18:19" x14ac:dyDescent="0.25">
      <c r="R6324"/>
      <c r="S6324"/>
    </row>
    <row r="6325" spans="18:19" x14ac:dyDescent="0.25">
      <c r="R6325"/>
      <c r="S6325"/>
    </row>
    <row r="6326" spans="18:19" x14ac:dyDescent="0.25">
      <c r="R6326"/>
      <c r="S6326"/>
    </row>
    <row r="6327" spans="18:19" x14ac:dyDescent="0.25">
      <c r="R6327"/>
      <c r="S6327"/>
    </row>
    <row r="6328" spans="18:19" x14ac:dyDescent="0.25">
      <c r="R6328"/>
      <c r="S6328"/>
    </row>
    <row r="6329" spans="18:19" x14ac:dyDescent="0.25">
      <c r="R6329"/>
      <c r="S6329"/>
    </row>
    <row r="6330" spans="18:19" x14ac:dyDescent="0.25">
      <c r="R6330"/>
      <c r="S6330"/>
    </row>
    <row r="6331" spans="18:19" x14ac:dyDescent="0.25">
      <c r="R6331"/>
      <c r="S6331"/>
    </row>
    <row r="6332" spans="18:19" x14ac:dyDescent="0.25">
      <c r="R6332"/>
      <c r="S6332"/>
    </row>
    <row r="6333" spans="18:19" x14ac:dyDescent="0.25">
      <c r="R6333"/>
      <c r="S6333"/>
    </row>
    <row r="6334" spans="18:19" x14ac:dyDescent="0.25">
      <c r="R6334"/>
      <c r="S6334"/>
    </row>
    <row r="6335" spans="18:19" x14ac:dyDescent="0.25">
      <c r="R6335"/>
      <c r="S6335"/>
    </row>
    <row r="6336" spans="18:19" x14ac:dyDescent="0.25">
      <c r="R6336"/>
      <c r="S6336"/>
    </row>
    <row r="6337" spans="18:19" x14ac:dyDescent="0.25">
      <c r="R6337"/>
      <c r="S6337"/>
    </row>
    <row r="6338" spans="18:19" x14ac:dyDescent="0.25">
      <c r="R6338"/>
      <c r="S6338"/>
    </row>
    <row r="6339" spans="18:19" x14ac:dyDescent="0.25">
      <c r="R6339"/>
      <c r="S6339"/>
    </row>
    <row r="6340" spans="18:19" x14ac:dyDescent="0.25">
      <c r="R6340"/>
      <c r="S6340"/>
    </row>
    <row r="6341" spans="18:19" x14ac:dyDescent="0.25">
      <c r="R6341"/>
      <c r="S6341"/>
    </row>
    <row r="6342" spans="18:19" x14ac:dyDescent="0.25">
      <c r="R6342"/>
      <c r="S6342"/>
    </row>
    <row r="6343" spans="18:19" x14ac:dyDescent="0.25">
      <c r="R6343"/>
      <c r="S6343"/>
    </row>
    <row r="6344" spans="18:19" x14ac:dyDescent="0.25">
      <c r="R6344"/>
      <c r="S6344"/>
    </row>
    <row r="6345" spans="18:19" x14ac:dyDescent="0.25">
      <c r="R6345"/>
      <c r="S6345"/>
    </row>
    <row r="6346" spans="18:19" x14ac:dyDescent="0.25">
      <c r="R6346"/>
      <c r="S6346"/>
    </row>
    <row r="6347" spans="18:19" x14ac:dyDescent="0.25">
      <c r="R6347"/>
      <c r="S6347"/>
    </row>
    <row r="6348" spans="18:19" x14ac:dyDescent="0.25">
      <c r="R6348"/>
      <c r="S6348"/>
    </row>
    <row r="6349" spans="18:19" x14ac:dyDescent="0.25">
      <c r="R6349"/>
      <c r="S6349"/>
    </row>
    <row r="6350" spans="18:19" x14ac:dyDescent="0.25">
      <c r="R6350"/>
      <c r="S6350"/>
    </row>
    <row r="6351" spans="18:19" x14ac:dyDescent="0.25">
      <c r="R6351"/>
      <c r="S6351"/>
    </row>
    <row r="6352" spans="18:19" x14ac:dyDescent="0.25">
      <c r="R6352"/>
      <c r="S6352"/>
    </row>
    <row r="6353" spans="18:19" x14ac:dyDescent="0.25">
      <c r="R6353"/>
      <c r="S6353"/>
    </row>
    <row r="6354" spans="18:19" x14ac:dyDescent="0.25">
      <c r="R6354"/>
      <c r="S6354"/>
    </row>
    <row r="6355" spans="18:19" x14ac:dyDescent="0.25">
      <c r="R6355"/>
      <c r="S6355"/>
    </row>
    <row r="6356" spans="18:19" x14ac:dyDescent="0.25">
      <c r="R6356"/>
      <c r="S6356"/>
    </row>
    <row r="6357" spans="18:19" x14ac:dyDescent="0.25">
      <c r="R6357"/>
      <c r="S6357"/>
    </row>
    <row r="6358" spans="18:19" x14ac:dyDescent="0.25">
      <c r="R6358"/>
      <c r="S6358"/>
    </row>
    <row r="6359" spans="18:19" x14ac:dyDescent="0.25">
      <c r="R6359"/>
      <c r="S6359"/>
    </row>
    <row r="6360" spans="18:19" x14ac:dyDescent="0.25">
      <c r="R6360"/>
      <c r="S6360"/>
    </row>
    <row r="6361" spans="18:19" x14ac:dyDescent="0.25">
      <c r="R6361"/>
      <c r="S6361"/>
    </row>
    <row r="6362" spans="18:19" x14ac:dyDescent="0.25">
      <c r="R6362"/>
      <c r="S6362"/>
    </row>
    <row r="6363" spans="18:19" x14ac:dyDescent="0.25">
      <c r="R6363"/>
      <c r="S6363"/>
    </row>
    <row r="6364" spans="18:19" x14ac:dyDescent="0.25">
      <c r="R6364"/>
      <c r="S6364"/>
    </row>
    <row r="6365" spans="18:19" x14ac:dyDescent="0.25">
      <c r="R6365"/>
      <c r="S6365"/>
    </row>
    <row r="6366" spans="18:19" x14ac:dyDescent="0.25">
      <c r="R6366"/>
      <c r="S6366"/>
    </row>
    <row r="6367" spans="18:19" x14ac:dyDescent="0.25">
      <c r="R6367"/>
      <c r="S6367"/>
    </row>
    <row r="6368" spans="18:19" x14ac:dyDescent="0.25">
      <c r="R6368"/>
      <c r="S6368"/>
    </row>
    <row r="6369" spans="18:19" x14ac:dyDescent="0.25">
      <c r="R6369"/>
      <c r="S6369"/>
    </row>
    <row r="6370" spans="18:19" x14ac:dyDescent="0.25">
      <c r="R6370"/>
      <c r="S6370"/>
    </row>
    <row r="6371" spans="18:19" x14ac:dyDescent="0.25">
      <c r="R6371"/>
      <c r="S6371"/>
    </row>
    <row r="6372" spans="18:19" x14ac:dyDescent="0.25">
      <c r="R6372"/>
      <c r="S6372"/>
    </row>
    <row r="6373" spans="18:19" x14ac:dyDescent="0.25">
      <c r="R6373"/>
      <c r="S6373"/>
    </row>
    <row r="6374" spans="18:19" x14ac:dyDescent="0.25">
      <c r="R6374"/>
      <c r="S6374"/>
    </row>
    <row r="6375" spans="18:19" x14ac:dyDescent="0.25">
      <c r="R6375"/>
      <c r="S6375"/>
    </row>
    <row r="6376" spans="18:19" x14ac:dyDescent="0.25">
      <c r="R6376"/>
      <c r="S6376"/>
    </row>
    <row r="6377" spans="18:19" x14ac:dyDescent="0.25">
      <c r="R6377"/>
      <c r="S6377"/>
    </row>
    <row r="6378" spans="18:19" x14ac:dyDescent="0.25">
      <c r="R6378"/>
      <c r="S6378"/>
    </row>
    <row r="6379" spans="18:19" x14ac:dyDescent="0.25">
      <c r="R6379"/>
      <c r="S6379"/>
    </row>
    <row r="6380" spans="18:19" x14ac:dyDescent="0.25">
      <c r="R6380"/>
      <c r="S6380"/>
    </row>
    <row r="6381" spans="18:19" x14ac:dyDescent="0.25">
      <c r="R6381"/>
      <c r="S6381"/>
    </row>
    <row r="6382" spans="18:19" x14ac:dyDescent="0.25">
      <c r="R6382"/>
      <c r="S6382"/>
    </row>
    <row r="6383" spans="18:19" x14ac:dyDescent="0.25">
      <c r="R6383"/>
      <c r="S6383"/>
    </row>
    <row r="6384" spans="18:19" x14ac:dyDescent="0.25">
      <c r="R6384"/>
      <c r="S6384"/>
    </row>
    <row r="6385" spans="18:19" x14ac:dyDescent="0.25">
      <c r="R6385"/>
      <c r="S6385"/>
    </row>
    <row r="6386" spans="18:19" x14ac:dyDescent="0.25">
      <c r="R6386"/>
      <c r="S6386"/>
    </row>
    <row r="6387" spans="18:19" x14ac:dyDescent="0.25">
      <c r="R6387"/>
      <c r="S6387"/>
    </row>
    <row r="6388" spans="18:19" x14ac:dyDescent="0.25">
      <c r="R6388"/>
      <c r="S6388"/>
    </row>
    <row r="6389" spans="18:19" x14ac:dyDescent="0.25">
      <c r="R6389"/>
      <c r="S6389"/>
    </row>
    <row r="6390" spans="18:19" x14ac:dyDescent="0.25">
      <c r="R6390"/>
      <c r="S6390"/>
    </row>
    <row r="6391" spans="18:19" x14ac:dyDescent="0.25">
      <c r="R6391"/>
      <c r="S6391"/>
    </row>
    <row r="6392" spans="18:19" x14ac:dyDescent="0.25">
      <c r="R6392"/>
      <c r="S6392"/>
    </row>
    <row r="6393" spans="18:19" x14ac:dyDescent="0.25">
      <c r="R6393"/>
      <c r="S6393"/>
    </row>
    <row r="6394" spans="18:19" x14ac:dyDescent="0.25">
      <c r="R6394"/>
      <c r="S6394"/>
    </row>
    <row r="6395" spans="18:19" x14ac:dyDescent="0.25">
      <c r="R6395"/>
      <c r="S6395"/>
    </row>
    <row r="6396" spans="18:19" x14ac:dyDescent="0.25">
      <c r="R6396"/>
      <c r="S6396"/>
    </row>
    <row r="6397" spans="18:19" x14ac:dyDescent="0.25">
      <c r="R6397"/>
      <c r="S6397"/>
    </row>
    <row r="6398" spans="18:19" x14ac:dyDescent="0.25">
      <c r="R6398"/>
      <c r="S6398"/>
    </row>
    <row r="6399" spans="18:19" x14ac:dyDescent="0.25">
      <c r="R6399"/>
      <c r="S6399"/>
    </row>
    <row r="6400" spans="18:19" x14ac:dyDescent="0.25">
      <c r="R6400"/>
      <c r="S6400"/>
    </row>
    <row r="6401" spans="18:19" x14ac:dyDescent="0.25">
      <c r="R6401"/>
      <c r="S6401"/>
    </row>
    <row r="6402" spans="18:19" x14ac:dyDescent="0.25">
      <c r="R6402"/>
      <c r="S6402"/>
    </row>
    <row r="6403" spans="18:19" x14ac:dyDescent="0.25">
      <c r="R6403"/>
      <c r="S6403"/>
    </row>
    <row r="6404" spans="18:19" x14ac:dyDescent="0.25">
      <c r="R6404"/>
      <c r="S6404"/>
    </row>
    <row r="6405" spans="18:19" x14ac:dyDescent="0.25">
      <c r="R6405"/>
      <c r="S6405"/>
    </row>
    <row r="6406" spans="18:19" x14ac:dyDescent="0.25">
      <c r="R6406"/>
      <c r="S6406"/>
    </row>
    <row r="6407" spans="18:19" x14ac:dyDescent="0.25">
      <c r="R6407"/>
      <c r="S6407"/>
    </row>
    <row r="6408" spans="18:19" x14ac:dyDescent="0.25">
      <c r="R6408"/>
      <c r="S6408"/>
    </row>
    <row r="6409" spans="18:19" x14ac:dyDescent="0.25">
      <c r="R6409"/>
      <c r="S6409"/>
    </row>
    <row r="6410" spans="18:19" x14ac:dyDescent="0.25">
      <c r="R6410"/>
      <c r="S6410"/>
    </row>
    <row r="6411" spans="18:19" x14ac:dyDescent="0.25">
      <c r="R6411"/>
      <c r="S6411"/>
    </row>
    <row r="6412" spans="18:19" x14ac:dyDescent="0.25">
      <c r="R6412"/>
      <c r="S6412"/>
    </row>
    <row r="6413" spans="18:19" x14ac:dyDescent="0.25">
      <c r="R6413"/>
      <c r="S6413"/>
    </row>
    <row r="6414" spans="18:19" x14ac:dyDescent="0.25">
      <c r="R6414"/>
      <c r="S6414"/>
    </row>
    <row r="6415" spans="18:19" x14ac:dyDescent="0.25">
      <c r="R6415"/>
      <c r="S6415"/>
    </row>
    <row r="6416" spans="18:19" x14ac:dyDescent="0.25">
      <c r="R6416"/>
      <c r="S6416"/>
    </row>
    <row r="6417" spans="18:19" x14ac:dyDescent="0.25">
      <c r="R6417"/>
      <c r="S6417"/>
    </row>
    <row r="6418" spans="18:19" x14ac:dyDescent="0.25">
      <c r="R6418"/>
      <c r="S6418"/>
    </row>
    <row r="6419" spans="18:19" x14ac:dyDescent="0.25">
      <c r="R6419"/>
      <c r="S6419"/>
    </row>
    <row r="6420" spans="18:19" x14ac:dyDescent="0.25">
      <c r="R6420"/>
      <c r="S6420"/>
    </row>
    <row r="6421" spans="18:19" x14ac:dyDescent="0.25">
      <c r="R6421"/>
      <c r="S6421"/>
    </row>
    <row r="6422" spans="18:19" x14ac:dyDescent="0.25">
      <c r="R6422"/>
      <c r="S6422"/>
    </row>
    <row r="6423" spans="18:19" x14ac:dyDescent="0.25">
      <c r="R6423"/>
      <c r="S6423"/>
    </row>
    <row r="6424" spans="18:19" x14ac:dyDescent="0.25">
      <c r="R6424"/>
      <c r="S6424"/>
    </row>
    <row r="6425" spans="18:19" x14ac:dyDescent="0.25">
      <c r="R6425"/>
      <c r="S6425"/>
    </row>
    <row r="6426" spans="18:19" x14ac:dyDescent="0.25">
      <c r="R6426"/>
      <c r="S6426"/>
    </row>
    <row r="6427" spans="18:19" x14ac:dyDescent="0.25">
      <c r="R6427"/>
      <c r="S6427"/>
    </row>
    <row r="6428" spans="18:19" x14ac:dyDescent="0.25">
      <c r="R6428"/>
      <c r="S6428"/>
    </row>
    <row r="6429" spans="18:19" x14ac:dyDescent="0.25">
      <c r="R6429"/>
      <c r="S6429"/>
    </row>
    <row r="6430" spans="18:19" x14ac:dyDescent="0.25">
      <c r="R6430"/>
      <c r="S6430"/>
    </row>
    <row r="6431" spans="18:19" x14ac:dyDescent="0.25">
      <c r="R6431"/>
      <c r="S6431"/>
    </row>
    <row r="6432" spans="18:19" x14ac:dyDescent="0.25">
      <c r="R6432"/>
      <c r="S6432"/>
    </row>
    <row r="6433" spans="18:19" x14ac:dyDescent="0.25">
      <c r="R6433"/>
      <c r="S6433"/>
    </row>
    <row r="6434" spans="18:19" x14ac:dyDescent="0.25">
      <c r="R6434"/>
      <c r="S6434"/>
    </row>
    <row r="6435" spans="18:19" x14ac:dyDescent="0.25">
      <c r="R6435"/>
      <c r="S6435"/>
    </row>
    <row r="6436" spans="18:19" x14ac:dyDescent="0.25">
      <c r="R6436"/>
      <c r="S6436"/>
    </row>
    <row r="6437" spans="18:19" x14ac:dyDescent="0.25">
      <c r="R6437"/>
      <c r="S6437"/>
    </row>
    <row r="6438" spans="18:19" x14ac:dyDescent="0.25">
      <c r="R6438"/>
      <c r="S6438"/>
    </row>
    <row r="6439" spans="18:19" x14ac:dyDescent="0.25">
      <c r="R6439"/>
      <c r="S6439"/>
    </row>
    <row r="6440" spans="18:19" x14ac:dyDescent="0.25">
      <c r="R6440"/>
      <c r="S6440"/>
    </row>
    <row r="6441" spans="18:19" x14ac:dyDescent="0.25">
      <c r="R6441"/>
      <c r="S6441"/>
    </row>
    <row r="6442" spans="18:19" x14ac:dyDescent="0.25">
      <c r="R6442"/>
      <c r="S6442"/>
    </row>
    <row r="6443" spans="18:19" x14ac:dyDescent="0.25">
      <c r="R6443"/>
      <c r="S6443"/>
    </row>
    <row r="6444" spans="18:19" x14ac:dyDescent="0.25">
      <c r="R6444"/>
      <c r="S6444"/>
    </row>
    <row r="6445" spans="18:19" x14ac:dyDescent="0.25">
      <c r="R6445"/>
      <c r="S6445"/>
    </row>
    <row r="6446" spans="18:19" x14ac:dyDescent="0.25">
      <c r="R6446"/>
      <c r="S6446"/>
    </row>
    <row r="6447" spans="18:19" x14ac:dyDescent="0.25">
      <c r="R6447"/>
      <c r="S6447"/>
    </row>
    <row r="6448" spans="18:19" x14ac:dyDescent="0.25">
      <c r="R6448"/>
      <c r="S6448"/>
    </row>
    <row r="6449" spans="18:19" x14ac:dyDescent="0.25">
      <c r="R6449"/>
      <c r="S6449"/>
    </row>
    <row r="6450" spans="18:19" x14ac:dyDescent="0.25">
      <c r="R6450"/>
      <c r="S6450"/>
    </row>
    <row r="6451" spans="18:19" x14ac:dyDescent="0.25">
      <c r="R6451"/>
      <c r="S6451"/>
    </row>
    <row r="6452" spans="18:19" x14ac:dyDescent="0.25">
      <c r="R6452"/>
      <c r="S6452"/>
    </row>
    <row r="6453" spans="18:19" x14ac:dyDescent="0.25">
      <c r="R6453"/>
      <c r="S6453"/>
    </row>
    <row r="6454" spans="18:19" x14ac:dyDescent="0.25">
      <c r="R6454"/>
      <c r="S6454"/>
    </row>
    <row r="6455" spans="18:19" x14ac:dyDescent="0.25">
      <c r="R6455"/>
      <c r="S6455"/>
    </row>
    <row r="6456" spans="18:19" x14ac:dyDescent="0.25">
      <c r="R6456"/>
      <c r="S6456"/>
    </row>
    <row r="6457" spans="18:19" x14ac:dyDescent="0.25">
      <c r="R6457"/>
      <c r="S6457"/>
    </row>
    <row r="6458" spans="18:19" x14ac:dyDescent="0.25">
      <c r="R6458"/>
      <c r="S6458"/>
    </row>
    <row r="6459" spans="18:19" x14ac:dyDescent="0.25">
      <c r="R6459"/>
      <c r="S6459"/>
    </row>
    <row r="6460" spans="18:19" x14ac:dyDescent="0.25">
      <c r="R6460"/>
      <c r="S6460"/>
    </row>
    <row r="6461" spans="18:19" x14ac:dyDescent="0.25">
      <c r="R6461"/>
      <c r="S6461"/>
    </row>
    <row r="6462" spans="18:19" x14ac:dyDescent="0.25">
      <c r="R6462"/>
      <c r="S6462"/>
    </row>
    <row r="6463" spans="18:19" x14ac:dyDescent="0.25">
      <c r="R6463"/>
      <c r="S6463"/>
    </row>
    <row r="6464" spans="18:19" x14ac:dyDescent="0.25">
      <c r="R6464"/>
      <c r="S6464"/>
    </row>
    <row r="6465" spans="18:19" x14ac:dyDescent="0.25">
      <c r="R6465"/>
      <c r="S6465"/>
    </row>
    <row r="6466" spans="18:19" x14ac:dyDescent="0.25">
      <c r="R6466"/>
      <c r="S6466"/>
    </row>
    <row r="6467" spans="18:19" x14ac:dyDescent="0.25">
      <c r="R6467"/>
      <c r="S6467"/>
    </row>
    <row r="6468" spans="18:19" x14ac:dyDescent="0.25">
      <c r="R6468"/>
      <c r="S6468"/>
    </row>
    <row r="6469" spans="18:19" x14ac:dyDescent="0.25">
      <c r="R6469"/>
      <c r="S6469"/>
    </row>
    <row r="6470" spans="18:19" x14ac:dyDescent="0.25">
      <c r="R6470"/>
      <c r="S6470"/>
    </row>
    <row r="6471" spans="18:19" x14ac:dyDescent="0.25">
      <c r="R6471"/>
      <c r="S6471"/>
    </row>
    <row r="6472" spans="18:19" x14ac:dyDescent="0.25">
      <c r="R6472"/>
      <c r="S6472"/>
    </row>
    <row r="6473" spans="18:19" x14ac:dyDescent="0.25">
      <c r="R6473"/>
      <c r="S6473"/>
    </row>
    <row r="6474" spans="18:19" x14ac:dyDescent="0.25">
      <c r="R6474"/>
      <c r="S6474"/>
    </row>
    <row r="6475" spans="18:19" x14ac:dyDescent="0.25">
      <c r="R6475"/>
      <c r="S6475"/>
    </row>
    <row r="6476" spans="18:19" x14ac:dyDescent="0.25">
      <c r="R6476"/>
      <c r="S6476"/>
    </row>
    <row r="6477" spans="18:19" x14ac:dyDescent="0.25">
      <c r="R6477"/>
      <c r="S6477"/>
    </row>
    <row r="6478" spans="18:19" x14ac:dyDescent="0.25">
      <c r="R6478"/>
      <c r="S6478"/>
    </row>
    <row r="6479" spans="18:19" x14ac:dyDescent="0.25">
      <c r="R6479"/>
      <c r="S6479"/>
    </row>
    <row r="6480" spans="18:19" x14ac:dyDescent="0.25">
      <c r="R6480"/>
      <c r="S6480"/>
    </row>
    <row r="6481" spans="18:19" x14ac:dyDescent="0.25">
      <c r="R6481"/>
      <c r="S6481"/>
    </row>
    <row r="6482" spans="18:19" x14ac:dyDescent="0.25">
      <c r="R6482"/>
      <c r="S6482"/>
    </row>
    <row r="6483" spans="18:19" x14ac:dyDescent="0.25">
      <c r="R6483"/>
      <c r="S6483"/>
    </row>
    <row r="6484" spans="18:19" x14ac:dyDescent="0.25">
      <c r="R6484"/>
      <c r="S6484"/>
    </row>
    <row r="6485" spans="18:19" x14ac:dyDescent="0.25">
      <c r="R6485"/>
      <c r="S6485"/>
    </row>
    <row r="6486" spans="18:19" x14ac:dyDescent="0.25">
      <c r="R6486"/>
      <c r="S6486"/>
    </row>
    <row r="6487" spans="18:19" x14ac:dyDescent="0.25">
      <c r="R6487"/>
      <c r="S6487"/>
    </row>
    <row r="6488" spans="18:19" x14ac:dyDescent="0.25">
      <c r="R6488"/>
      <c r="S6488"/>
    </row>
    <row r="6489" spans="18:19" x14ac:dyDescent="0.25">
      <c r="R6489"/>
      <c r="S6489"/>
    </row>
    <row r="6490" spans="18:19" x14ac:dyDescent="0.25">
      <c r="R6490"/>
      <c r="S6490"/>
    </row>
    <row r="6491" spans="18:19" x14ac:dyDescent="0.25">
      <c r="R6491"/>
      <c r="S6491"/>
    </row>
    <row r="6492" spans="18:19" x14ac:dyDescent="0.25">
      <c r="R6492"/>
      <c r="S6492"/>
    </row>
    <row r="6493" spans="18:19" x14ac:dyDescent="0.25">
      <c r="R6493"/>
      <c r="S6493"/>
    </row>
    <row r="6494" spans="18:19" x14ac:dyDescent="0.25">
      <c r="R6494"/>
      <c r="S6494"/>
    </row>
    <row r="6495" spans="18:19" x14ac:dyDescent="0.25">
      <c r="R6495"/>
      <c r="S6495"/>
    </row>
    <row r="6496" spans="18:19" x14ac:dyDescent="0.25">
      <c r="R6496"/>
      <c r="S6496"/>
    </row>
    <row r="6497" spans="18:19" x14ac:dyDescent="0.25">
      <c r="R6497"/>
      <c r="S6497"/>
    </row>
    <row r="6498" spans="18:19" x14ac:dyDescent="0.25">
      <c r="R6498"/>
      <c r="S6498"/>
    </row>
    <row r="6499" spans="18:19" x14ac:dyDescent="0.25">
      <c r="R6499"/>
      <c r="S6499"/>
    </row>
    <row r="6500" spans="18:19" x14ac:dyDescent="0.25">
      <c r="R6500"/>
      <c r="S6500"/>
    </row>
    <row r="6501" spans="18:19" x14ac:dyDescent="0.25">
      <c r="R6501"/>
      <c r="S6501"/>
    </row>
    <row r="6502" spans="18:19" x14ac:dyDescent="0.25">
      <c r="R6502"/>
      <c r="S6502"/>
    </row>
    <row r="6503" spans="18:19" x14ac:dyDescent="0.25">
      <c r="R6503"/>
      <c r="S6503"/>
    </row>
    <row r="6504" spans="18:19" x14ac:dyDescent="0.25">
      <c r="R6504"/>
      <c r="S6504"/>
    </row>
    <row r="6505" spans="18:19" x14ac:dyDescent="0.25">
      <c r="R6505"/>
      <c r="S6505"/>
    </row>
    <row r="6506" spans="18:19" x14ac:dyDescent="0.25">
      <c r="R6506"/>
      <c r="S6506"/>
    </row>
    <row r="6507" spans="18:19" x14ac:dyDescent="0.25">
      <c r="R6507"/>
      <c r="S6507"/>
    </row>
    <row r="6508" spans="18:19" x14ac:dyDescent="0.25">
      <c r="R6508"/>
      <c r="S6508"/>
    </row>
    <row r="6509" spans="18:19" x14ac:dyDescent="0.25">
      <c r="R6509"/>
      <c r="S6509"/>
    </row>
    <row r="6510" spans="18:19" x14ac:dyDescent="0.25">
      <c r="R6510"/>
      <c r="S6510"/>
    </row>
    <row r="6511" spans="18:19" x14ac:dyDescent="0.25">
      <c r="R6511"/>
      <c r="S6511"/>
    </row>
    <row r="6512" spans="18:19" x14ac:dyDescent="0.25">
      <c r="R6512"/>
      <c r="S6512"/>
    </row>
    <row r="6513" spans="18:19" x14ac:dyDescent="0.25">
      <c r="R6513"/>
      <c r="S6513"/>
    </row>
    <row r="6514" spans="18:19" x14ac:dyDescent="0.25">
      <c r="R6514"/>
      <c r="S6514"/>
    </row>
    <row r="6515" spans="18:19" x14ac:dyDescent="0.25">
      <c r="R6515"/>
      <c r="S6515"/>
    </row>
    <row r="6516" spans="18:19" x14ac:dyDescent="0.25">
      <c r="R6516"/>
      <c r="S6516"/>
    </row>
    <row r="6517" spans="18:19" x14ac:dyDescent="0.25">
      <c r="R6517"/>
      <c r="S6517"/>
    </row>
    <row r="6518" spans="18:19" x14ac:dyDescent="0.25">
      <c r="R6518"/>
      <c r="S6518"/>
    </row>
    <row r="6519" spans="18:19" x14ac:dyDescent="0.25">
      <c r="R6519"/>
      <c r="S6519"/>
    </row>
    <row r="6520" spans="18:19" x14ac:dyDescent="0.25">
      <c r="R6520"/>
      <c r="S6520"/>
    </row>
    <row r="6521" spans="18:19" x14ac:dyDescent="0.25">
      <c r="R6521"/>
      <c r="S6521"/>
    </row>
    <row r="6522" spans="18:19" x14ac:dyDescent="0.25">
      <c r="R6522"/>
      <c r="S6522"/>
    </row>
    <row r="6523" spans="18:19" x14ac:dyDescent="0.25">
      <c r="R6523"/>
      <c r="S6523"/>
    </row>
    <row r="6524" spans="18:19" x14ac:dyDescent="0.25">
      <c r="R6524"/>
      <c r="S6524"/>
    </row>
    <row r="6525" spans="18:19" x14ac:dyDescent="0.25">
      <c r="R6525"/>
      <c r="S6525"/>
    </row>
    <row r="6526" spans="18:19" x14ac:dyDescent="0.25">
      <c r="R6526"/>
      <c r="S6526"/>
    </row>
    <row r="6527" spans="18:19" x14ac:dyDescent="0.25">
      <c r="R6527"/>
      <c r="S6527"/>
    </row>
    <row r="6528" spans="18:19" x14ac:dyDescent="0.25">
      <c r="R6528"/>
      <c r="S6528"/>
    </row>
    <row r="6529" spans="18:19" x14ac:dyDescent="0.25">
      <c r="R6529"/>
      <c r="S6529"/>
    </row>
    <row r="6530" spans="18:19" x14ac:dyDescent="0.25">
      <c r="R6530"/>
      <c r="S6530"/>
    </row>
    <row r="6531" spans="18:19" x14ac:dyDescent="0.25">
      <c r="R6531"/>
      <c r="S6531"/>
    </row>
    <row r="6532" spans="18:19" x14ac:dyDescent="0.25">
      <c r="R6532"/>
      <c r="S6532"/>
    </row>
    <row r="6533" spans="18:19" x14ac:dyDescent="0.25">
      <c r="R6533"/>
      <c r="S6533"/>
    </row>
    <row r="6534" spans="18:19" x14ac:dyDescent="0.25">
      <c r="R6534"/>
      <c r="S6534"/>
    </row>
    <row r="6535" spans="18:19" x14ac:dyDescent="0.25">
      <c r="R6535"/>
      <c r="S6535"/>
    </row>
    <row r="6536" spans="18:19" x14ac:dyDescent="0.25">
      <c r="R6536"/>
      <c r="S6536"/>
    </row>
    <row r="6537" spans="18:19" x14ac:dyDescent="0.25">
      <c r="R6537"/>
      <c r="S6537"/>
    </row>
    <row r="6538" spans="18:19" x14ac:dyDescent="0.25">
      <c r="R6538"/>
      <c r="S6538"/>
    </row>
    <row r="6539" spans="18:19" x14ac:dyDescent="0.25">
      <c r="R6539"/>
      <c r="S6539"/>
    </row>
    <row r="6540" spans="18:19" x14ac:dyDescent="0.25">
      <c r="R6540"/>
      <c r="S6540"/>
    </row>
    <row r="6541" spans="18:19" x14ac:dyDescent="0.25">
      <c r="R6541"/>
      <c r="S6541"/>
    </row>
    <row r="6542" spans="18:19" x14ac:dyDescent="0.25">
      <c r="R6542"/>
      <c r="S6542"/>
    </row>
    <row r="6543" spans="18:19" x14ac:dyDescent="0.25">
      <c r="R6543"/>
      <c r="S6543"/>
    </row>
    <row r="6544" spans="18:19" x14ac:dyDescent="0.25">
      <c r="R6544"/>
      <c r="S6544"/>
    </row>
    <row r="6545" spans="18:19" x14ac:dyDescent="0.25">
      <c r="R6545"/>
      <c r="S6545"/>
    </row>
    <row r="6546" spans="18:19" x14ac:dyDescent="0.25">
      <c r="R6546"/>
      <c r="S6546"/>
    </row>
    <row r="6547" spans="18:19" x14ac:dyDescent="0.25">
      <c r="R6547"/>
      <c r="S6547"/>
    </row>
    <row r="6548" spans="18:19" x14ac:dyDescent="0.25">
      <c r="R6548"/>
      <c r="S6548"/>
    </row>
    <row r="6549" spans="18:19" x14ac:dyDescent="0.25">
      <c r="R6549"/>
      <c r="S6549"/>
    </row>
    <row r="6550" spans="18:19" x14ac:dyDescent="0.25">
      <c r="R6550"/>
      <c r="S6550"/>
    </row>
    <row r="6551" spans="18:19" x14ac:dyDescent="0.25">
      <c r="R6551"/>
      <c r="S6551"/>
    </row>
    <row r="6552" spans="18:19" x14ac:dyDescent="0.25">
      <c r="R6552"/>
      <c r="S6552"/>
    </row>
    <row r="6553" spans="18:19" x14ac:dyDescent="0.25">
      <c r="R6553"/>
      <c r="S6553"/>
    </row>
    <row r="6554" spans="18:19" x14ac:dyDescent="0.25">
      <c r="R6554"/>
      <c r="S6554"/>
    </row>
    <row r="6555" spans="18:19" x14ac:dyDescent="0.25">
      <c r="R6555"/>
      <c r="S6555"/>
    </row>
    <row r="6556" spans="18:19" x14ac:dyDescent="0.25">
      <c r="R6556"/>
      <c r="S6556"/>
    </row>
    <row r="6557" spans="18:19" x14ac:dyDescent="0.25">
      <c r="R6557"/>
      <c r="S6557"/>
    </row>
    <row r="6558" spans="18:19" x14ac:dyDescent="0.25">
      <c r="R6558"/>
      <c r="S6558"/>
    </row>
    <row r="6559" spans="18:19" x14ac:dyDescent="0.25">
      <c r="R6559"/>
      <c r="S6559"/>
    </row>
    <row r="6560" spans="18:19" x14ac:dyDescent="0.25">
      <c r="R6560"/>
      <c r="S6560"/>
    </row>
    <row r="6561" spans="18:19" x14ac:dyDescent="0.25">
      <c r="R6561"/>
      <c r="S6561"/>
    </row>
    <row r="6562" spans="18:19" x14ac:dyDescent="0.25">
      <c r="R6562"/>
      <c r="S6562"/>
    </row>
    <row r="6563" spans="18:19" x14ac:dyDescent="0.25">
      <c r="R6563"/>
      <c r="S6563"/>
    </row>
    <row r="6564" spans="18:19" x14ac:dyDescent="0.25">
      <c r="R6564"/>
      <c r="S6564"/>
    </row>
    <row r="6565" spans="18:19" x14ac:dyDescent="0.25">
      <c r="R6565"/>
      <c r="S6565"/>
    </row>
    <row r="6566" spans="18:19" x14ac:dyDescent="0.25">
      <c r="R6566"/>
      <c r="S6566"/>
    </row>
    <row r="6567" spans="18:19" x14ac:dyDescent="0.25">
      <c r="R6567"/>
      <c r="S6567"/>
    </row>
    <row r="6568" spans="18:19" x14ac:dyDescent="0.25">
      <c r="R6568"/>
      <c r="S6568"/>
    </row>
    <row r="6569" spans="18:19" x14ac:dyDescent="0.25">
      <c r="R6569"/>
      <c r="S6569"/>
    </row>
    <row r="6570" spans="18:19" x14ac:dyDescent="0.25">
      <c r="R6570"/>
      <c r="S6570"/>
    </row>
    <row r="6571" spans="18:19" x14ac:dyDescent="0.25">
      <c r="R6571"/>
      <c r="S6571"/>
    </row>
    <row r="6572" spans="18:19" x14ac:dyDescent="0.25">
      <c r="R6572"/>
      <c r="S6572"/>
    </row>
    <row r="6573" spans="18:19" x14ac:dyDescent="0.25">
      <c r="R6573"/>
      <c r="S6573"/>
    </row>
    <row r="6574" spans="18:19" x14ac:dyDescent="0.25">
      <c r="R6574"/>
      <c r="S6574"/>
    </row>
    <row r="6575" spans="18:19" x14ac:dyDescent="0.25">
      <c r="R6575"/>
      <c r="S6575"/>
    </row>
    <row r="6576" spans="18:19" x14ac:dyDescent="0.25">
      <c r="R6576"/>
      <c r="S6576"/>
    </row>
    <row r="6577" spans="18:19" x14ac:dyDescent="0.25">
      <c r="R6577"/>
      <c r="S6577"/>
    </row>
    <row r="6578" spans="18:19" x14ac:dyDescent="0.25">
      <c r="R6578"/>
      <c r="S6578"/>
    </row>
    <row r="6579" spans="18:19" x14ac:dyDescent="0.25">
      <c r="R6579"/>
      <c r="S6579"/>
    </row>
    <row r="6580" spans="18:19" x14ac:dyDescent="0.25">
      <c r="R6580"/>
      <c r="S6580"/>
    </row>
    <row r="6581" spans="18:19" x14ac:dyDescent="0.25">
      <c r="R6581"/>
      <c r="S6581"/>
    </row>
    <row r="6582" spans="18:19" x14ac:dyDescent="0.25">
      <c r="R6582"/>
      <c r="S6582"/>
    </row>
    <row r="6583" spans="18:19" x14ac:dyDescent="0.25">
      <c r="R6583"/>
      <c r="S6583"/>
    </row>
    <row r="6584" spans="18:19" x14ac:dyDescent="0.25">
      <c r="R6584"/>
      <c r="S6584"/>
    </row>
    <row r="6585" spans="18:19" x14ac:dyDescent="0.25">
      <c r="R6585"/>
      <c r="S6585"/>
    </row>
    <row r="6586" spans="18:19" x14ac:dyDescent="0.25">
      <c r="R6586"/>
      <c r="S6586"/>
    </row>
    <row r="6587" spans="18:19" x14ac:dyDescent="0.25">
      <c r="R6587"/>
      <c r="S6587"/>
    </row>
    <row r="6588" spans="18:19" x14ac:dyDescent="0.25">
      <c r="R6588"/>
      <c r="S6588"/>
    </row>
    <row r="6589" spans="18:19" x14ac:dyDescent="0.25">
      <c r="R6589"/>
      <c r="S6589"/>
    </row>
    <row r="6590" spans="18:19" x14ac:dyDescent="0.25">
      <c r="R6590"/>
      <c r="S6590"/>
    </row>
    <row r="6591" spans="18:19" x14ac:dyDescent="0.25">
      <c r="R6591"/>
      <c r="S6591"/>
    </row>
    <row r="6592" spans="18:19" x14ac:dyDescent="0.25">
      <c r="R6592"/>
      <c r="S6592"/>
    </row>
    <row r="6593" spans="18:19" x14ac:dyDescent="0.25">
      <c r="R6593"/>
      <c r="S6593"/>
    </row>
    <row r="6594" spans="18:19" x14ac:dyDescent="0.25">
      <c r="R6594"/>
      <c r="S6594"/>
    </row>
    <row r="6595" spans="18:19" x14ac:dyDescent="0.25">
      <c r="R6595"/>
      <c r="S6595"/>
    </row>
    <row r="6596" spans="18:19" x14ac:dyDescent="0.25">
      <c r="R6596"/>
      <c r="S6596"/>
    </row>
    <row r="6597" spans="18:19" x14ac:dyDescent="0.25">
      <c r="R6597"/>
      <c r="S6597"/>
    </row>
    <row r="6598" spans="18:19" x14ac:dyDescent="0.25">
      <c r="R6598"/>
      <c r="S6598"/>
    </row>
    <row r="6599" spans="18:19" x14ac:dyDescent="0.25">
      <c r="R6599"/>
      <c r="S6599"/>
    </row>
    <row r="6600" spans="18:19" x14ac:dyDescent="0.25">
      <c r="R6600"/>
      <c r="S6600"/>
    </row>
    <row r="6601" spans="18:19" x14ac:dyDescent="0.25">
      <c r="R6601"/>
      <c r="S6601"/>
    </row>
    <row r="6602" spans="18:19" x14ac:dyDescent="0.25">
      <c r="R6602"/>
      <c r="S6602"/>
    </row>
    <row r="6603" spans="18:19" x14ac:dyDescent="0.25">
      <c r="R6603"/>
      <c r="S6603"/>
    </row>
    <row r="6604" spans="18:19" x14ac:dyDescent="0.25">
      <c r="R6604"/>
      <c r="S6604"/>
    </row>
    <row r="6605" spans="18:19" x14ac:dyDescent="0.25">
      <c r="R6605"/>
      <c r="S6605"/>
    </row>
    <row r="6606" spans="18:19" x14ac:dyDescent="0.25">
      <c r="R6606"/>
      <c r="S6606"/>
    </row>
    <row r="6607" spans="18:19" x14ac:dyDescent="0.25">
      <c r="R6607"/>
      <c r="S6607"/>
    </row>
    <row r="6608" spans="18:19" x14ac:dyDescent="0.25">
      <c r="R6608"/>
      <c r="S6608"/>
    </row>
    <row r="6609" spans="18:19" x14ac:dyDescent="0.25">
      <c r="R6609"/>
      <c r="S6609"/>
    </row>
    <row r="6610" spans="18:19" x14ac:dyDescent="0.25">
      <c r="R6610"/>
      <c r="S6610"/>
    </row>
    <row r="6611" spans="18:19" x14ac:dyDescent="0.25">
      <c r="R6611"/>
      <c r="S6611"/>
    </row>
    <row r="6612" spans="18:19" x14ac:dyDescent="0.25">
      <c r="R6612"/>
      <c r="S6612"/>
    </row>
    <row r="6613" spans="18:19" x14ac:dyDescent="0.25">
      <c r="R6613"/>
      <c r="S6613"/>
    </row>
    <row r="6614" spans="18:19" x14ac:dyDescent="0.25">
      <c r="R6614"/>
      <c r="S6614"/>
    </row>
    <row r="6615" spans="18:19" x14ac:dyDescent="0.25">
      <c r="R6615"/>
      <c r="S6615"/>
    </row>
    <row r="6616" spans="18:19" x14ac:dyDescent="0.25">
      <c r="R6616"/>
      <c r="S6616"/>
    </row>
    <row r="6617" spans="18:19" x14ac:dyDescent="0.25">
      <c r="R6617"/>
      <c r="S6617"/>
    </row>
    <row r="6618" spans="18:19" x14ac:dyDescent="0.25">
      <c r="R6618"/>
      <c r="S6618"/>
    </row>
    <row r="6619" spans="18:19" x14ac:dyDescent="0.25">
      <c r="R6619"/>
      <c r="S6619"/>
    </row>
    <row r="6620" spans="18:19" x14ac:dyDescent="0.25">
      <c r="R6620"/>
      <c r="S6620"/>
    </row>
    <row r="6621" spans="18:19" x14ac:dyDescent="0.25">
      <c r="R6621"/>
      <c r="S6621"/>
    </row>
    <row r="6622" spans="18:19" x14ac:dyDescent="0.25">
      <c r="R6622"/>
      <c r="S6622"/>
    </row>
    <row r="6623" spans="18:19" x14ac:dyDescent="0.25">
      <c r="R6623"/>
      <c r="S6623"/>
    </row>
    <row r="6624" spans="18:19" x14ac:dyDescent="0.25">
      <c r="R6624"/>
      <c r="S6624"/>
    </row>
    <row r="6625" spans="18:19" x14ac:dyDescent="0.25">
      <c r="R6625"/>
      <c r="S6625"/>
    </row>
    <row r="6626" spans="18:19" x14ac:dyDescent="0.25">
      <c r="R6626"/>
      <c r="S6626"/>
    </row>
    <row r="6627" spans="18:19" x14ac:dyDescent="0.25">
      <c r="R6627"/>
      <c r="S6627"/>
    </row>
    <row r="6628" spans="18:19" x14ac:dyDescent="0.25">
      <c r="R6628"/>
      <c r="S6628"/>
    </row>
    <row r="6629" spans="18:19" x14ac:dyDescent="0.25">
      <c r="R6629"/>
      <c r="S6629"/>
    </row>
    <row r="6630" spans="18:19" x14ac:dyDescent="0.25">
      <c r="R6630"/>
      <c r="S6630"/>
    </row>
    <row r="6631" spans="18:19" x14ac:dyDescent="0.25">
      <c r="R6631"/>
      <c r="S6631"/>
    </row>
    <row r="6632" spans="18:19" x14ac:dyDescent="0.25">
      <c r="R6632"/>
      <c r="S6632"/>
    </row>
    <row r="6633" spans="18:19" x14ac:dyDescent="0.25">
      <c r="R6633"/>
      <c r="S6633"/>
    </row>
    <row r="6634" spans="18:19" x14ac:dyDescent="0.25">
      <c r="R6634"/>
      <c r="S6634"/>
    </row>
    <row r="6635" spans="18:19" x14ac:dyDescent="0.25">
      <c r="R6635"/>
      <c r="S6635"/>
    </row>
    <row r="6636" spans="18:19" x14ac:dyDescent="0.25">
      <c r="R6636"/>
      <c r="S6636"/>
    </row>
    <row r="6637" spans="18:19" x14ac:dyDescent="0.25">
      <c r="R6637"/>
      <c r="S6637"/>
    </row>
    <row r="6638" spans="18:19" x14ac:dyDescent="0.25">
      <c r="R6638"/>
      <c r="S6638"/>
    </row>
    <row r="6639" spans="18:19" x14ac:dyDescent="0.25">
      <c r="R6639"/>
      <c r="S6639"/>
    </row>
    <row r="6640" spans="18:19" x14ac:dyDescent="0.25">
      <c r="R6640"/>
      <c r="S6640"/>
    </row>
    <row r="6641" spans="18:19" x14ac:dyDescent="0.25">
      <c r="R6641"/>
      <c r="S6641"/>
    </row>
    <row r="6642" spans="18:19" x14ac:dyDescent="0.25">
      <c r="R6642"/>
      <c r="S6642"/>
    </row>
    <row r="6643" spans="18:19" x14ac:dyDescent="0.25">
      <c r="R6643"/>
      <c r="S6643"/>
    </row>
    <row r="6644" spans="18:19" x14ac:dyDescent="0.25">
      <c r="R6644"/>
      <c r="S6644"/>
    </row>
    <row r="6645" spans="18:19" x14ac:dyDescent="0.25">
      <c r="R6645"/>
      <c r="S6645"/>
    </row>
    <row r="6646" spans="18:19" x14ac:dyDescent="0.25">
      <c r="R6646"/>
      <c r="S6646"/>
    </row>
    <row r="6647" spans="18:19" x14ac:dyDescent="0.25">
      <c r="R6647"/>
      <c r="S6647"/>
    </row>
    <row r="6648" spans="18:19" x14ac:dyDescent="0.25">
      <c r="R6648"/>
      <c r="S6648"/>
    </row>
    <row r="6649" spans="18:19" x14ac:dyDescent="0.25">
      <c r="R6649"/>
      <c r="S6649"/>
    </row>
    <row r="6650" spans="18:19" x14ac:dyDescent="0.25">
      <c r="R6650"/>
      <c r="S6650"/>
    </row>
    <row r="6651" spans="18:19" x14ac:dyDescent="0.25">
      <c r="R6651"/>
      <c r="S6651"/>
    </row>
    <row r="6652" spans="18:19" x14ac:dyDescent="0.25">
      <c r="R6652"/>
      <c r="S6652"/>
    </row>
    <row r="6653" spans="18:19" x14ac:dyDescent="0.25">
      <c r="R6653"/>
      <c r="S6653"/>
    </row>
    <row r="6654" spans="18:19" x14ac:dyDescent="0.25">
      <c r="R6654"/>
      <c r="S6654"/>
    </row>
    <row r="6655" spans="18:19" x14ac:dyDescent="0.25">
      <c r="R6655"/>
      <c r="S6655"/>
    </row>
    <row r="6656" spans="18:19" x14ac:dyDescent="0.25">
      <c r="R6656"/>
      <c r="S6656"/>
    </row>
    <row r="6657" spans="18:19" x14ac:dyDescent="0.25">
      <c r="R6657"/>
      <c r="S6657"/>
    </row>
    <row r="6658" spans="18:19" x14ac:dyDescent="0.25">
      <c r="R6658"/>
      <c r="S6658"/>
    </row>
    <row r="6659" spans="18:19" x14ac:dyDescent="0.25">
      <c r="R6659"/>
      <c r="S6659"/>
    </row>
    <row r="6660" spans="18:19" x14ac:dyDescent="0.25">
      <c r="R6660"/>
      <c r="S6660"/>
    </row>
    <row r="6661" spans="18:19" x14ac:dyDescent="0.25">
      <c r="R6661"/>
      <c r="S6661"/>
    </row>
    <row r="6662" spans="18:19" x14ac:dyDescent="0.25">
      <c r="R6662"/>
      <c r="S6662"/>
    </row>
    <row r="6663" spans="18:19" x14ac:dyDescent="0.25">
      <c r="R6663"/>
      <c r="S6663"/>
    </row>
    <row r="6664" spans="18:19" x14ac:dyDescent="0.25">
      <c r="R6664"/>
      <c r="S6664"/>
    </row>
    <row r="6665" spans="18:19" x14ac:dyDescent="0.25">
      <c r="R6665"/>
      <c r="S6665"/>
    </row>
    <row r="6666" spans="18:19" x14ac:dyDescent="0.25">
      <c r="R6666"/>
      <c r="S6666"/>
    </row>
    <row r="6667" spans="18:19" x14ac:dyDescent="0.25">
      <c r="R6667"/>
      <c r="S6667"/>
    </row>
    <row r="6668" spans="18:19" x14ac:dyDescent="0.25">
      <c r="R6668"/>
      <c r="S6668"/>
    </row>
    <row r="6669" spans="18:19" x14ac:dyDescent="0.25">
      <c r="R6669"/>
      <c r="S6669"/>
    </row>
    <row r="6670" spans="18:19" x14ac:dyDescent="0.25">
      <c r="R6670"/>
      <c r="S6670"/>
    </row>
    <row r="6671" spans="18:19" x14ac:dyDescent="0.25">
      <c r="R6671"/>
      <c r="S6671"/>
    </row>
    <row r="6672" spans="18:19" x14ac:dyDescent="0.25">
      <c r="R6672"/>
      <c r="S6672"/>
    </row>
    <row r="6673" spans="18:19" x14ac:dyDescent="0.25">
      <c r="R6673"/>
      <c r="S6673"/>
    </row>
    <row r="6674" spans="18:19" x14ac:dyDescent="0.25">
      <c r="R6674"/>
      <c r="S6674"/>
    </row>
    <row r="6675" spans="18:19" x14ac:dyDescent="0.25">
      <c r="R6675"/>
      <c r="S6675"/>
    </row>
    <row r="6676" spans="18:19" x14ac:dyDescent="0.25">
      <c r="R6676"/>
      <c r="S6676"/>
    </row>
    <row r="6677" spans="18:19" x14ac:dyDescent="0.25">
      <c r="R6677"/>
      <c r="S6677"/>
    </row>
    <row r="6678" spans="18:19" x14ac:dyDescent="0.25">
      <c r="R6678"/>
      <c r="S6678"/>
    </row>
    <row r="6679" spans="18:19" x14ac:dyDescent="0.25">
      <c r="R6679"/>
      <c r="S6679"/>
    </row>
    <row r="6680" spans="18:19" x14ac:dyDescent="0.25">
      <c r="R6680"/>
      <c r="S6680"/>
    </row>
    <row r="6681" spans="18:19" x14ac:dyDescent="0.25">
      <c r="R6681"/>
      <c r="S6681"/>
    </row>
    <row r="6682" spans="18:19" x14ac:dyDescent="0.25">
      <c r="R6682"/>
      <c r="S6682"/>
    </row>
    <row r="6683" spans="18:19" x14ac:dyDescent="0.25">
      <c r="R6683"/>
      <c r="S6683"/>
    </row>
    <row r="6684" spans="18:19" x14ac:dyDescent="0.25">
      <c r="R6684"/>
      <c r="S6684"/>
    </row>
    <row r="6685" spans="18:19" x14ac:dyDescent="0.25">
      <c r="R6685"/>
      <c r="S6685"/>
    </row>
    <row r="6686" spans="18:19" x14ac:dyDescent="0.25">
      <c r="R6686"/>
      <c r="S6686"/>
    </row>
    <row r="6687" spans="18:19" x14ac:dyDescent="0.25">
      <c r="R6687"/>
      <c r="S6687"/>
    </row>
    <row r="6688" spans="18:19" x14ac:dyDescent="0.25">
      <c r="R6688"/>
      <c r="S6688"/>
    </row>
    <row r="6689" spans="18:19" x14ac:dyDescent="0.25">
      <c r="R6689"/>
      <c r="S6689"/>
    </row>
    <row r="6690" spans="18:19" x14ac:dyDescent="0.25">
      <c r="R6690"/>
      <c r="S6690"/>
    </row>
    <row r="6691" spans="18:19" x14ac:dyDescent="0.25">
      <c r="R6691"/>
      <c r="S6691"/>
    </row>
    <row r="6692" spans="18:19" x14ac:dyDescent="0.25">
      <c r="R6692"/>
      <c r="S6692"/>
    </row>
    <row r="6693" spans="18:19" x14ac:dyDescent="0.25">
      <c r="R6693"/>
      <c r="S6693"/>
    </row>
    <row r="6694" spans="18:19" x14ac:dyDescent="0.25">
      <c r="R6694"/>
      <c r="S6694"/>
    </row>
    <row r="6695" spans="18:19" x14ac:dyDescent="0.25">
      <c r="R6695"/>
      <c r="S6695"/>
    </row>
    <row r="6696" spans="18:19" x14ac:dyDescent="0.25">
      <c r="R6696"/>
      <c r="S6696"/>
    </row>
    <row r="6697" spans="18:19" x14ac:dyDescent="0.25">
      <c r="R6697"/>
      <c r="S6697"/>
    </row>
    <row r="6698" spans="18:19" x14ac:dyDescent="0.25">
      <c r="R6698"/>
      <c r="S6698"/>
    </row>
    <row r="6699" spans="18:19" x14ac:dyDescent="0.25">
      <c r="R6699"/>
      <c r="S6699"/>
    </row>
    <row r="6700" spans="18:19" x14ac:dyDescent="0.25">
      <c r="R6700"/>
      <c r="S6700"/>
    </row>
    <row r="6701" spans="18:19" x14ac:dyDescent="0.25">
      <c r="R6701"/>
      <c r="S6701"/>
    </row>
    <row r="6702" spans="18:19" x14ac:dyDescent="0.25">
      <c r="R6702"/>
      <c r="S6702"/>
    </row>
    <row r="6703" spans="18:19" x14ac:dyDescent="0.25">
      <c r="R6703"/>
      <c r="S6703"/>
    </row>
    <row r="6704" spans="18:19" x14ac:dyDescent="0.25">
      <c r="R6704"/>
      <c r="S6704"/>
    </row>
    <row r="6705" spans="18:19" x14ac:dyDescent="0.25">
      <c r="R6705"/>
      <c r="S6705"/>
    </row>
    <row r="6706" spans="18:19" x14ac:dyDescent="0.25">
      <c r="R6706"/>
      <c r="S6706"/>
    </row>
    <row r="6707" spans="18:19" x14ac:dyDescent="0.25">
      <c r="R6707"/>
      <c r="S6707"/>
    </row>
    <row r="6708" spans="18:19" x14ac:dyDescent="0.25">
      <c r="R6708"/>
      <c r="S6708"/>
    </row>
    <row r="6709" spans="18:19" x14ac:dyDescent="0.25">
      <c r="R6709"/>
      <c r="S6709"/>
    </row>
    <row r="6710" spans="18:19" x14ac:dyDescent="0.25">
      <c r="R6710"/>
      <c r="S6710"/>
    </row>
    <row r="6711" spans="18:19" x14ac:dyDescent="0.25">
      <c r="R6711"/>
      <c r="S6711"/>
    </row>
    <row r="6712" spans="18:19" x14ac:dyDescent="0.25">
      <c r="R6712"/>
      <c r="S6712"/>
    </row>
    <row r="6713" spans="18:19" x14ac:dyDescent="0.25">
      <c r="R6713"/>
      <c r="S6713"/>
    </row>
    <row r="6714" spans="18:19" x14ac:dyDescent="0.25">
      <c r="R6714"/>
      <c r="S6714"/>
    </row>
    <row r="6715" spans="18:19" x14ac:dyDescent="0.25">
      <c r="R6715"/>
      <c r="S6715"/>
    </row>
    <row r="6716" spans="18:19" x14ac:dyDescent="0.25">
      <c r="R6716"/>
      <c r="S6716"/>
    </row>
    <row r="6717" spans="18:19" x14ac:dyDescent="0.25">
      <c r="R6717"/>
      <c r="S6717"/>
    </row>
    <row r="6718" spans="18:19" x14ac:dyDescent="0.25">
      <c r="R6718"/>
      <c r="S6718"/>
    </row>
    <row r="6719" spans="18:19" x14ac:dyDescent="0.25">
      <c r="R6719"/>
      <c r="S6719"/>
    </row>
    <row r="6720" spans="18:19" x14ac:dyDescent="0.25">
      <c r="R6720"/>
      <c r="S6720"/>
    </row>
    <row r="6721" spans="18:19" x14ac:dyDescent="0.25">
      <c r="R6721"/>
      <c r="S6721"/>
    </row>
    <row r="6722" spans="18:19" x14ac:dyDescent="0.25">
      <c r="R6722"/>
      <c r="S6722"/>
    </row>
    <row r="6723" spans="18:19" x14ac:dyDescent="0.25">
      <c r="R6723"/>
      <c r="S6723"/>
    </row>
    <row r="6724" spans="18:19" x14ac:dyDescent="0.25">
      <c r="R6724"/>
      <c r="S6724"/>
    </row>
    <row r="6725" spans="18:19" x14ac:dyDescent="0.25">
      <c r="R6725"/>
      <c r="S6725"/>
    </row>
    <row r="6726" spans="18:19" x14ac:dyDescent="0.25">
      <c r="R6726"/>
      <c r="S6726"/>
    </row>
    <row r="6727" spans="18:19" x14ac:dyDescent="0.25">
      <c r="R6727"/>
      <c r="S6727"/>
    </row>
    <row r="6728" spans="18:19" x14ac:dyDescent="0.25">
      <c r="R6728"/>
      <c r="S6728"/>
    </row>
    <row r="6729" spans="18:19" x14ac:dyDescent="0.25">
      <c r="R6729"/>
      <c r="S6729"/>
    </row>
    <row r="6730" spans="18:19" x14ac:dyDescent="0.25">
      <c r="R6730"/>
      <c r="S6730"/>
    </row>
    <row r="6731" spans="18:19" x14ac:dyDescent="0.25">
      <c r="R6731"/>
      <c r="S6731"/>
    </row>
    <row r="6732" spans="18:19" x14ac:dyDescent="0.25">
      <c r="R6732"/>
      <c r="S6732"/>
    </row>
    <row r="6733" spans="18:19" x14ac:dyDescent="0.25">
      <c r="R6733"/>
      <c r="S6733"/>
    </row>
    <row r="6734" spans="18:19" x14ac:dyDescent="0.25">
      <c r="R6734"/>
      <c r="S6734"/>
    </row>
    <row r="6735" spans="18:19" x14ac:dyDescent="0.25">
      <c r="R6735"/>
      <c r="S6735"/>
    </row>
    <row r="6736" spans="18:19" x14ac:dyDescent="0.25">
      <c r="R6736"/>
      <c r="S6736"/>
    </row>
    <row r="6737" spans="18:19" x14ac:dyDescent="0.25">
      <c r="R6737"/>
      <c r="S6737"/>
    </row>
    <row r="6738" spans="18:19" x14ac:dyDescent="0.25">
      <c r="R6738"/>
      <c r="S6738"/>
    </row>
    <row r="6739" spans="18:19" x14ac:dyDescent="0.25">
      <c r="R6739"/>
      <c r="S6739"/>
    </row>
    <row r="6740" spans="18:19" x14ac:dyDescent="0.25">
      <c r="R6740"/>
      <c r="S6740"/>
    </row>
    <row r="6741" spans="18:19" x14ac:dyDescent="0.25">
      <c r="R6741"/>
      <c r="S6741"/>
    </row>
    <row r="6742" spans="18:19" x14ac:dyDescent="0.25">
      <c r="R6742"/>
      <c r="S6742"/>
    </row>
    <row r="6743" spans="18:19" x14ac:dyDescent="0.25">
      <c r="R6743"/>
      <c r="S6743"/>
    </row>
    <row r="6744" spans="18:19" x14ac:dyDescent="0.25">
      <c r="R6744"/>
      <c r="S6744"/>
    </row>
    <row r="6745" spans="18:19" x14ac:dyDescent="0.25">
      <c r="R6745"/>
      <c r="S6745"/>
    </row>
    <row r="6746" spans="18:19" x14ac:dyDescent="0.25">
      <c r="R6746"/>
      <c r="S6746"/>
    </row>
    <row r="6747" spans="18:19" x14ac:dyDescent="0.25">
      <c r="R6747"/>
      <c r="S6747"/>
    </row>
    <row r="6748" spans="18:19" x14ac:dyDescent="0.25">
      <c r="R6748"/>
      <c r="S6748"/>
    </row>
    <row r="6749" spans="18:19" x14ac:dyDescent="0.25">
      <c r="R6749"/>
      <c r="S6749"/>
    </row>
    <row r="6750" spans="18:19" x14ac:dyDescent="0.25">
      <c r="R6750"/>
      <c r="S6750"/>
    </row>
    <row r="6751" spans="18:19" x14ac:dyDescent="0.25">
      <c r="R6751"/>
      <c r="S6751"/>
    </row>
    <row r="6752" spans="18:19" x14ac:dyDescent="0.25">
      <c r="R6752"/>
      <c r="S6752"/>
    </row>
    <row r="6753" spans="18:19" x14ac:dyDescent="0.25">
      <c r="R6753"/>
      <c r="S6753"/>
    </row>
    <row r="6754" spans="18:19" x14ac:dyDescent="0.25">
      <c r="R6754"/>
      <c r="S6754"/>
    </row>
    <row r="6755" spans="18:19" x14ac:dyDescent="0.25">
      <c r="R6755"/>
      <c r="S6755"/>
    </row>
    <row r="6756" spans="18:19" x14ac:dyDescent="0.25">
      <c r="R6756"/>
      <c r="S6756"/>
    </row>
    <row r="6757" spans="18:19" x14ac:dyDescent="0.25">
      <c r="R6757"/>
      <c r="S6757"/>
    </row>
    <row r="6758" spans="18:19" x14ac:dyDescent="0.25">
      <c r="R6758"/>
      <c r="S6758"/>
    </row>
    <row r="6759" spans="18:19" x14ac:dyDescent="0.25">
      <c r="R6759"/>
      <c r="S6759"/>
    </row>
    <row r="6760" spans="18:19" x14ac:dyDescent="0.25">
      <c r="R6760"/>
      <c r="S6760"/>
    </row>
    <row r="6761" spans="18:19" x14ac:dyDescent="0.25">
      <c r="R6761"/>
      <c r="S6761"/>
    </row>
    <row r="6762" spans="18:19" x14ac:dyDescent="0.25">
      <c r="R6762"/>
      <c r="S6762"/>
    </row>
    <row r="6763" spans="18:19" x14ac:dyDescent="0.25">
      <c r="R6763"/>
      <c r="S6763"/>
    </row>
    <row r="6764" spans="18:19" x14ac:dyDescent="0.25">
      <c r="R6764"/>
      <c r="S6764"/>
    </row>
    <row r="6765" spans="18:19" x14ac:dyDescent="0.25">
      <c r="R6765"/>
      <c r="S6765"/>
    </row>
    <row r="6766" spans="18:19" x14ac:dyDescent="0.25">
      <c r="R6766"/>
      <c r="S6766"/>
    </row>
    <row r="6767" spans="18:19" x14ac:dyDescent="0.25">
      <c r="R6767"/>
      <c r="S6767"/>
    </row>
    <row r="6768" spans="18:19" x14ac:dyDescent="0.25">
      <c r="R6768"/>
      <c r="S6768"/>
    </row>
    <row r="6769" spans="18:19" x14ac:dyDescent="0.25">
      <c r="R6769"/>
      <c r="S6769"/>
    </row>
    <row r="6770" spans="18:19" x14ac:dyDescent="0.25">
      <c r="R6770"/>
      <c r="S6770"/>
    </row>
    <row r="6771" spans="18:19" x14ac:dyDescent="0.25">
      <c r="R6771"/>
      <c r="S6771"/>
    </row>
    <row r="6772" spans="18:19" x14ac:dyDescent="0.25">
      <c r="R6772"/>
      <c r="S6772"/>
    </row>
    <row r="6773" spans="18:19" x14ac:dyDescent="0.25">
      <c r="R6773"/>
      <c r="S6773"/>
    </row>
    <row r="6774" spans="18:19" x14ac:dyDescent="0.25">
      <c r="R6774"/>
      <c r="S6774"/>
    </row>
    <row r="6775" spans="18:19" x14ac:dyDescent="0.25">
      <c r="R6775"/>
      <c r="S6775"/>
    </row>
    <row r="6776" spans="18:19" x14ac:dyDescent="0.25">
      <c r="R6776"/>
      <c r="S6776"/>
    </row>
    <row r="6777" spans="18:19" x14ac:dyDescent="0.25">
      <c r="R6777"/>
      <c r="S6777"/>
    </row>
    <row r="6778" spans="18:19" x14ac:dyDescent="0.25">
      <c r="R6778"/>
      <c r="S6778"/>
    </row>
    <row r="6779" spans="18:19" x14ac:dyDescent="0.25">
      <c r="R6779"/>
      <c r="S6779"/>
    </row>
    <row r="6780" spans="18:19" x14ac:dyDescent="0.25">
      <c r="R6780"/>
      <c r="S6780"/>
    </row>
    <row r="6781" spans="18:19" x14ac:dyDescent="0.25">
      <c r="R6781"/>
      <c r="S6781"/>
    </row>
    <row r="6782" spans="18:19" x14ac:dyDescent="0.25">
      <c r="R6782"/>
      <c r="S6782"/>
    </row>
    <row r="6783" spans="18:19" x14ac:dyDescent="0.25">
      <c r="R6783"/>
      <c r="S6783"/>
    </row>
    <row r="6784" spans="18:19" x14ac:dyDescent="0.25">
      <c r="R6784"/>
      <c r="S6784"/>
    </row>
    <row r="6785" spans="18:19" x14ac:dyDescent="0.25">
      <c r="R6785"/>
      <c r="S6785"/>
    </row>
    <row r="6786" spans="18:19" x14ac:dyDescent="0.25">
      <c r="R6786"/>
      <c r="S6786"/>
    </row>
    <row r="6787" spans="18:19" x14ac:dyDescent="0.25">
      <c r="R6787"/>
      <c r="S6787"/>
    </row>
    <row r="6788" spans="18:19" x14ac:dyDescent="0.25">
      <c r="R6788"/>
      <c r="S6788"/>
    </row>
    <row r="6789" spans="18:19" x14ac:dyDescent="0.25">
      <c r="R6789"/>
      <c r="S6789"/>
    </row>
    <row r="6790" spans="18:19" x14ac:dyDescent="0.25">
      <c r="R6790"/>
      <c r="S6790"/>
    </row>
    <row r="6791" spans="18:19" x14ac:dyDescent="0.25">
      <c r="R6791"/>
      <c r="S6791"/>
    </row>
    <row r="6792" spans="18:19" x14ac:dyDescent="0.25">
      <c r="R6792"/>
      <c r="S6792"/>
    </row>
    <row r="6793" spans="18:19" x14ac:dyDescent="0.25">
      <c r="R6793"/>
      <c r="S6793"/>
    </row>
    <row r="6794" spans="18:19" x14ac:dyDescent="0.25">
      <c r="R6794"/>
      <c r="S6794"/>
    </row>
    <row r="6795" spans="18:19" x14ac:dyDescent="0.25">
      <c r="R6795"/>
      <c r="S6795"/>
    </row>
    <row r="6796" spans="18:19" x14ac:dyDescent="0.25">
      <c r="R6796"/>
      <c r="S6796"/>
    </row>
    <row r="6797" spans="18:19" x14ac:dyDescent="0.25">
      <c r="R6797"/>
      <c r="S6797"/>
    </row>
    <row r="6798" spans="18:19" x14ac:dyDescent="0.25">
      <c r="R6798"/>
      <c r="S6798"/>
    </row>
    <row r="6799" spans="18:19" x14ac:dyDescent="0.25">
      <c r="R6799"/>
      <c r="S6799"/>
    </row>
    <row r="6800" spans="18:19" x14ac:dyDescent="0.25">
      <c r="R6800"/>
      <c r="S6800"/>
    </row>
    <row r="6801" spans="18:19" x14ac:dyDescent="0.25">
      <c r="R6801"/>
      <c r="S6801"/>
    </row>
    <row r="6802" spans="18:19" x14ac:dyDescent="0.25">
      <c r="R6802"/>
      <c r="S6802"/>
    </row>
    <row r="6803" spans="18:19" x14ac:dyDescent="0.25">
      <c r="R6803"/>
      <c r="S6803"/>
    </row>
    <row r="6804" spans="18:19" x14ac:dyDescent="0.25">
      <c r="R6804"/>
      <c r="S6804"/>
    </row>
    <row r="6805" spans="18:19" x14ac:dyDescent="0.25">
      <c r="R6805"/>
      <c r="S6805"/>
    </row>
    <row r="6806" spans="18:19" x14ac:dyDescent="0.25">
      <c r="R6806"/>
      <c r="S6806"/>
    </row>
    <row r="6807" spans="18:19" x14ac:dyDescent="0.25">
      <c r="R6807"/>
      <c r="S6807"/>
    </row>
    <row r="6808" spans="18:19" x14ac:dyDescent="0.25">
      <c r="R6808"/>
      <c r="S6808"/>
    </row>
    <row r="6809" spans="18:19" x14ac:dyDescent="0.25">
      <c r="R6809"/>
      <c r="S6809"/>
    </row>
    <row r="6810" spans="18:19" x14ac:dyDescent="0.25">
      <c r="R6810"/>
      <c r="S6810"/>
    </row>
    <row r="6811" spans="18:19" x14ac:dyDescent="0.25">
      <c r="R6811"/>
      <c r="S6811"/>
    </row>
    <row r="6812" spans="18:19" x14ac:dyDescent="0.25">
      <c r="R6812"/>
      <c r="S6812"/>
    </row>
    <row r="6813" spans="18:19" x14ac:dyDescent="0.25">
      <c r="R6813"/>
      <c r="S6813"/>
    </row>
    <row r="6814" spans="18:19" x14ac:dyDescent="0.25">
      <c r="R6814"/>
      <c r="S6814"/>
    </row>
    <row r="6815" spans="18:19" x14ac:dyDescent="0.25">
      <c r="R6815"/>
      <c r="S6815"/>
    </row>
    <row r="6816" spans="18:19" x14ac:dyDescent="0.25">
      <c r="R6816"/>
      <c r="S6816"/>
    </row>
    <row r="6817" spans="18:19" x14ac:dyDescent="0.25">
      <c r="R6817"/>
      <c r="S6817"/>
    </row>
    <row r="6818" spans="18:19" x14ac:dyDescent="0.25">
      <c r="R6818"/>
      <c r="S6818"/>
    </row>
    <row r="6819" spans="18:19" x14ac:dyDescent="0.25">
      <c r="R6819"/>
      <c r="S6819"/>
    </row>
    <row r="6820" spans="18:19" x14ac:dyDescent="0.25">
      <c r="R6820"/>
      <c r="S6820"/>
    </row>
    <row r="6821" spans="18:19" x14ac:dyDescent="0.25">
      <c r="R6821"/>
      <c r="S6821"/>
    </row>
    <row r="6822" spans="18:19" x14ac:dyDescent="0.25">
      <c r="R6822"/>
      <c r="S6822"/>
    </row>
    <row r="6823" spans="18:19" x14ac:dyDescent="0.25">
      <c r="R6823"/>
      <c r="S6823"/>
    </row>
    <row r="6824" spans="18:19" x14ac:dyDescent="0.25">
      <c r="R6824"/>
      <c r="S6824"/>
    </row>
    <row r="6825" spans="18:19" x14ac:dyDescent="0.25">
      <c r="R6825"/>
      <c r="S6825"/>
    </row>
    <row r="6826" spans="18:19" x14ac:dyDescent="0.25">
      <c r="R6826"/>
      <c r="S6826"/>
    </row>
    <row r="6827" spans="18:19" x14ac:dyDescent="0.25">
      <c r="R6827"/>
      <c r="S6827"/>
    </row>
    <row r="6828" spans="18:19" x14ac:dyDescent="0.25">
      <c r="R6828"/>
      <c r="S6828"/>
    </row>
    <row r="6829" spans="18:19" x14ac:dyDescent="0.25">
      <c r="R6829"/>
      <c r="S6829"/>
    </row>
    <row r="6830" spans="18:19" x14ac:dyDescent="0.25">
      <c r="R6830"/>
      <c r="S6830"/>
    </row>
    <row r="6831" spans="18:19" x14ac:dyDescent="0.25">
      <c r="R6831"/>
      <c r="S6831"/>
    </row>
    <row r="6832" spans="18:19" x14ac:dyDescent="0.25">
      <c r="R6832"/>
      <c r="S6832"/>
    </row>
    <row r="6833" spans="18:19" x14ac:dyDescent="0.25">
      <c r="R6833"/>
      <c r="S6833"/>
    </row>
    <row r="6834" spans="18:19" x14ac:dyDescent="0.25">
      <c r="R6834"/>
      <c r="S6834"/>
    </row>
    <row r="6835" spans="18:19" x14ac:dyDescent="0.25">
      <c r="R6835"/>
      <c r="S6835"/>
    </row>
    <row r="6836" spans="18:19" x14ac:dyDescent="0.25">
      <c r="R6836"/>
      <c r="S6836"/>
    </row>
    <row r="6837" spans="18:19" x14ac:dyDescent="0.25">
      <c r="R6837"/>
      <c r="S6837"/>
    </row>
    <row r="6838" spans="18:19" x14ac:dyDescent="0.25">
      <c r="R6838"/>
      <c r="S6838"/>
    </row>
    <row r="6839" spans="18:19" x14ac:dyDescent="0.25">
      <c r="R6839"/>
      <c r="S6839"/>
    </row>
    <row r="6840" spans="18:19" x14ac:dyDescent="0.25">
      <c r="R6840"/>
      <c r="S6840"/>
    </row>
    <row r="6841" spans="18:19" x14ac:dyDescent="0.25">
      <c r="R6841"/>
      <c r="S6841"/>
    </row>
    <row r="6842" spans="18:19" x14ac:dyDescent="0.25">
      <c r="R6842"/>
      <c r="S6842"/>
    </row>
    <row r="6843" spans="18:19" x14ac:dyDescent="0.25">
      <c r="R6843"/>
      <c r="S6843"/>
    </row>
    <row r="6844" spans="18:19" x14ac:dyDescent="0.25">
      <c r="R6844"/>
      <c r="S6844"/>
    </row>
    <row r="6845" spans="18:19" x14ac:dyDescent="0.25">
      <c r="R6845"/>
      <c r="S6845"/>
    </row>
    <row r="6846" spans="18:19" x14ac:dyDescent="0.25">
      <c r="R6846"/>
      <c r="S6846"/>
    </row>
    <row r="6847" spans="18:19" x14ac:dyDescent="0.25">
      <c r="R6847"/>
      <c r="S6847"/>
    </row>
    <row r="6848" spans="18:19" x14ac:dyDescent="0.25">
      <c r="R6848"/>
      <c r="S6848"/>
    </row>
    <row r="6849" spans="18:19" x14ac:dyDescent="0.25">
      <c r="R6849"/>
      <c r="S6849"/>
    </row>
    <row r="6850" spans="18:19" x14ac:dyDescent="0.25">
      <c r="R6850"/>
      <c r="S6850"/>
    </row>
    <row r="6851" spans="18:19" x14ac:dyDescent="0.25">
      <c r="R6851"/>
      <c r="S6851"/>
    </row>
    <row r="6852" spans="18:19" x14ac:dyDescent="0.25">
      <c r="R6852"/>
      <c r="S6852"/>
    </row>
    <row r="6853" spans="18:19" x14ac:dyDescent="0.25">
      <c r="R6853"/>
      <c r="S6853"/>
    </row>
    <row r="6854" spans="18:19" x14ac:dyDescent="0.25">
      <c r="R6854"/>
      <c r="S6854"/>
    </row>
    <row r="6855" spans="18:19" x14ac:dyDescent="0.25">
      <c r="R6855"/>
      <c r="S6855"/>
    </row>
    <row r="6856" spans="18:19" x14ac:dyDescent="0.25">
      <c r="R6856"/>
      <c r="S6856"/>
    </row>
    <row r="6857" spans="18:19" x14ac:dyDescent="0.25">
      <c r="R6857"/>
      <c r="S6857"/>
    </row>
    <row r="6858" spans="18:19" x14ac:dyDescent="0.25">
      <c r="R6858"/>
      <c r="S6858"/>
    </row>
    <row r="6859" spans="18:19" x14ac:dyDescent="0.25">
      <c r="R6859"/>
      <c r="S6859"/>
    </row>
    <row r="6860" spans="18:19" x14ac:dyDescent="0.25">
      <c r="R6860"/>
      <c r="S6860"/>
    </row>
    <row r="6861" spans="18:19" x14ac:dyDescent="0.25">
      <c r="R6861"/>
      <c r="S6861"/>
    </row>
    <row r="6862" spans="18:19" x14ac:dyDescent="0.25">
      <c r="R6862"/>
      <c r="S6862"/>
    </row>
    <row r="6863" spans="18:19" x14ac:dyDescent="0.25">
      <c r="R6863"/>
      <c r="S6863"/>
    </row>
    <row r="6864" spans="18:19" x14ac:dyDescent="0.25">
      <c r="R6864"/>
      <c r="S6864"/>
    </row>
    <row r="6865" spans="18:19" x14ac:dyDescent="0.25">
      <c r="R6865"/>
      <c r="S6865"/>
    </row>
    <row r="6866" spans="18:19" x14ac:dyDescent="0.25">
      <c r="R6866"/>
      <c r="S6866"/>
    </row>
    <row r="6867" spans="18:19" x14ac:dyDescent="0.25">
      <c r="R6867"/>
      <c r="S6867"/>
    </row>
    <row r="6868" spans="18:19" x14ac:dyDescent="0.25">
      <c r="R6868"/>
      <c r="S6868"/>
    </row>
    <row r="6869" spans="18:19" x14ac:dyDescent="0.25">
      <c r="R6869"/>
      <c r="S6869"/>
    </row>
    <row r="6870" spans="18:19" x14ac:dyDescent="0.25">
      <c r="R6870"/>
      <c r="S6870"/>
    </row>
    <row r="6871" spans="18:19" x14ac:dyDescent="0.25">
      <c r="R6871"/>
      <c r="S6871"/>
    </row>
    <row r="6872" spans="18:19" x14ac:dyDescent="0.25">
      <c r="R6872"/>
      <c r="S6872"/>
    </row>
    <row r="6873" spans="18:19" x14ac:dyDescent="0.25">
      <c r="R6873"/>
      <c r="S6873"/>
    </row>
    <row r="6874" spans="18:19" x14ac:dyDescent="0.25">
      <c r="R6874"/>
      <c r="S6874"/>
    </row>
    <row r="6875" spans="18:19" x14ac:dyDescent="0.25">
      <c r="R6875"/>
      <c r="S6875"/>
    </row>
    <row r="6876" spans="18:19" x14ac:dyDescent="0.25">
      <c r="R6876"/>
      <c r="S6876"/>
    </row>
    <row r="6877" spans="18:19" x14ac:dyDescent="0.25">
      <c r="R6877"/>
      <c r="S6877"/>
    </row>
    <row r="6878" spans="18:19" x14ac:dyDescent="0.25">
      <c r="R6878"/>
      <c r="S6878"/>
    </row>
    <row r="6879" spans="18:19" x14ac:dyDescent="0.25">
      <c r="R6879"/>
      <c r="S6879"/>
    </row>
    <row r="6880" spans="18:19" x14ac:dyDescent="0.25">
      <c r="R6880"/>
      <c r="S6880"/>
    </row>
    <row r="6881" spans="18:19" x14ac:dyDescent="0.25">
      <c r="R6881"/>
      <c r="S6881"/>
    </row>
    <row r="6882" spans="18:19" x14ac:dyDescent="0.25">
      <c r="R6882"/>
      <c r="S6882"/>
    </row>
    <row r="6883" spans="18:19" x14ac:dyDescent="0.25">
      <c r="R6883"/>
      <c r="S6883"/>
    </row>
    <row r="6884" spans="18:19" x14ac:dyDescent="0.25">
      <c r="R6884"/>
      <c r="S6884"/>
    </row>
    <row r="6885" spans="18:19" x14ac:dyDescent="0.25">
      <c r="R6885"/>
      <c r="S6885"/>
    </row>
    <row r="6886" spans="18:19" x14ac:dyDescent="0.25">
      <c r="R6886"/>
      <c r="S6886"/>
    </row>
    <row r="6887" spans="18:19" x14ac:dyDescent="0.25">
      <c r="R6887"/>
      <c r="S6887"/>
    </row>
    <row r="6888" spans="18:19" x14ac:dyDescent="0.25">
      <c r="R6888"/>
      <c r="S6888"/>
    </row>
    <row r="6889" spans="18:19" x14ac:dyDescent="0.25">
      <c r="R6889"/>
      <c r="S6889"/>
    </row>
    <row r="6890" spans="18:19" x14ac:dyDescent="0.25">
      <c r="R6890"/>
      <c r="S6890"/>
    </row>
    <row r="6891" spans="18:19" x14ac:dyDescent="0.25">
      <c r="R6891"/>
      <c r="S6891"/>
    </row>
    <row r="6892" spans="18:19" x14ac:dyDescent="0.25">
      <c r="R6892"/>
      <c r="S6892"/>
    </row>
    <row r="6893" spans="18:19" x14ac:dyDescent="0.25">
      <c r="R6893"/>
      <c r="S6893"/>
    </row>
    <row r="6894" spans="18:19" x14ac:dyDescent="0.25">
      <c r="R6894"/>
      <c r="S6894"/>
    </row>
    <row r="6895" spans="18:19" x14ac:dyDescent="0.25">
      <c r="R6895"/>
      <c r="S6895"/>
    </row>
    <row r="6896" spans="18:19" x14ac:dyDescent="0.25">
      <c r="R6896"/>
      <c r="S6896"/>
    </row>
    <row r="6897" spans="18:19" x14ac:dyDescent="0.25">
      <c r="R6897"/>
      <c r="S6897"/>
    </row>
    <row r="6898" spans="18:19" x14ac:dyDescent="0.25">
      <c r="R6898"/>
      <c r="S6898"/>
    </row>
    <row r="6899" spans="18:19" x14ac:dyDescent="0.25">
      <c r="R6899"/>
      <c r="S6899"/>
    </row>
    <row r="6900" spans="18:19" x14ac:dyDescent="0.25">
      <c r="R6900"/>
      <c r="S6900"/>
    </row>
    <row r="6901" spans="18:19" x14ac:dyDescent="0.25">
      <c r="R6901"/>
      <c r="S6901"/>
    </row>
    <row r="6902" spans="18:19" x14ac:dyDescent="0.25">
      <c r="R6902"/>
      <c r="S6902"/>
    </row>
    <row r="6903" spans="18:19" x14ac:dyDescent="0.25">
      <c r="R6903"/>
      <c r="S6903"/>
    </row>
    <row r="6904" spans="18:19" x14ac:dyDescent="0.25">
      <c r="R6904"/>
      <c r="S6904"/>
    </row>
    <row r="6905" spans="18:19" x14ac:dyDescent="0.25">
      <c r="R6905"/>
      <c r="S6905"/>
    </row>
    <row r="6906" spans="18:19" x14ac:dyDescent="0.25">
      <c r="R6906"/>
      <c r="S6906"/>
    </row>
    <row r="6907" spans="18:19" x14ac:dyDescent="0.25">
      <c r="R6907"/>
      <c r="S6907"/>
    </row>
    <row r="6908" spans="18:19" x14ac:dyDescent="0.25">
      <c r="R6908"/>
      <c r="S6908"/>
    </row>
    <row r="6909" spans="18:19" x14ac:dyDescent="0.25">
      <c r="R6909"/>
      <c r="S6909"/>
    </row>
    <row r="6910" spans="18:19" x14ac:dyDescent="0.25">
      <c r="R6910"/>
      <c r="S6910"/>
    </row>
    <row r="6911" spans="18:19" x14ac:dyDescent="0.25">
      <c r="R6911"/>
      <c r="S6911"/>
    </row>
    <row r="6912" spans="18:19" x14ac:dyDescent="0.25">
      <c r="R6912"/>
      <c r="S6912"/>
    </row>
    <row r="6913" spans="18:19" x14ac:dyDescent="0.25">
      <c r="R6913"/>
      <c r="S6913"/>
    </row>
    <row r="6914" spans="18:19" x14ac:dyDescent="0.25">
      <c r="R6914"/>
      <c r="S6914"/>
    </row>
    <row r="6915" spans="18:19" x14ac:dyDescent="0.25">
      <c r="R6915"/>
      <c r="S6915"/>
    </row>
    <row r="6916" spans="18:19" x14ac:dyDescent="0.25">
      <c r="R6916"/>
      <c r="S6916"/>
    </row>
    <row r="6917" spans="18:19" x14ac:dyDescent="0.25">
      <c r="R6917"/>
      <c r="S6917"/>
    </row>
    <row r="6918" spans="18:19" x14ac:dyDescent="0.25">
      <c r="R6918"/>
      <c r="S6918"/>
    </row>
    <row r="6919" spans="18:19" x14ac:dyDescent="0.25">
      <c r="R6919"/>
      <c r="S6919"/>
    </row>
    <row r="6920" spans="18:19" x14ac:dyDescent="0.25">
      <c r="R6920"/>
      <c r="S6920"/>
    </row>
    <row r="6921" spans="18:19" x14ac:dyDescent="0.25">
      <c r="R6921"/>
      <c r="S6921"/>
    </row>
    <row r="6922" spans="18:19" x14ac:dyDescent="0.25">
      <c r="R6922"/>
      <c r="S6922"/>
    </row>
    <row r="6923" spans="18:19" x14ac:dyDescent="0.25">
      <c r="R6923"/>
      <c r="S6923"/>
    </row>
    <row r="6924" spans="18:19" x14ac:dyDescent="0.25">
      <c r="R6924"/>
      <c r="S6924"/>
    </row>
    <row r="6925" spans="18:19" x14ac:dyDescent="0.25">
      <c r="R6925"/>
      <c r="S6925"/>
    </row>
    <row r="6926" spans="18:19" x14ac:dyDescent="0.25">
      <c r="R6926"/>
      <c r="S6926"/>
    </row>
    <row r="6927" spans="18:19" x14ac:dyDescent="0.25">
      <c r="R6927"/>
      <c r="S6927"/>
    </row>
    <row r="6928" spans="18:19" x14ac:dyDescent="0.25">
      <c r="R6928"/>
      <c r="S6928"/>
    </row>
    <row r="6929" spans="18:19" x14ac:dyDescent="0.25">
      <c r="R6929"/>
      <c r="S6929"/>
    </row>
    <row r="6930" spans="18:19" x14ac:dyDescent="0.25">
      <c r="R6930"/>
      <c r="S6930"/>
    </row>
    <row r="6931" spans="18:19" x14ac:dyDescent="0.25">
      <c r="R6931"/>
      <c r="S6931"/>
    </row>
    <row r="6932" spans="18:19" x14ac:dyDescent="0.25">
      <c r="R6932"/>
      <c r="S6932"/>
    </row>
    <row r="6933" spans="18:19" x14ac:dyDescent="0.25">
      <c r="R6933"/>
      <c r="S6933"/>
    </row>
    <row r="6934" spans="18:19" x14ac:dyDescent="0.25">
      <c r="R6934"/>
      <c r="S6934"/>
    </row>
    <row r="6935" spans="18:19" x14ac:dyDescent="0.25">
      <c r="R6935"/>
      <c r="S6935"/>
    </row>
    <row r="6936" spans="18:19" x14ac:dyDescent="0.25">
      <c r="R6936"/>
      <c r="S6936"/>
    </row>
    <row r="6937" spans="18:19" x14ac:dyDescent="0.25">
      <c r="R6937"/>
      <c r="S6937"/>
    </row>
    <row r="6938" spans="18:19" x14ac:dyDescent="0.25">
      <c r="R6938"/>
      <c r="S6938"/>
    </row>
    <row r="6939" spans="18:19" x14ac:dyDescent="0.25">
      <c r="R6939"/>
      <c r="S6939"/>
    </row>
    <row r="6940" spans="18:19" x14ac:dyDescent="0.25">
      <c r="R6940"/>
      <c r="S6940"/>
    </row>
    <row r="6941" spans="18:19" x14ac:dyDescent="0.25">
      <c r="R6941"/>
      <c r="S6941"/>
    </row>
    <row r="6942" spans="18:19" x14ac:dyDescent="0.25">
      <c r="R6942"/>
      <c r="S6942"/>
    </row>
    <row r="6943" spans="18:19" x14ac:dyDescent="0.25">
      <c r="R6943"/>
      <c r="S6943"/>
    </row>
    <row r="6944" spans="18:19" x14ac:dyDescent="0.25">
      <c r="R6944"/>
      <c r="S6944"/>
    </row>
    <row r="6945" spans="18:19" x14ac:dyDescent="0.25">
      <c r="R6945"/>
      <c r="S6945"/>
    </row>
    <row r="6946" spans="18:19" x14ac:dyDescent="0.25">
      <c r="R6946"/>
      <c r="S6946"/>
    </row>
    <row r="6947" spans="18:19" x14ac:dyDescent="0.25">
      <c r="R6947"/>
      <c r="S6947"/>
    </row>
    <row r="6948" spans="18:19" x14ac:dyDescent="0.25">
      <c r="R6948"/>
      <c r="S6948"/>
    </row>
    <row r="6949" spans="18:19" x14ac:dyDescent="0.25">
      <c r="R6949"/>
      <c r="S6949"/>
    </row>
    <row r="6950" spans="18:19" x14ac:dyDescent="0.25">
      <c r="R6950"/>
      <c r="S6950"/>
    </row>
    <row r="6951" spans="18:19" x14ac:dyDescent="0.25">
      <c r="R6951"/>
      <c r="S6951"/>
    </row>
    <row r="6952" spans="18:19" x14ac:dyDescent="0.25">
      <c r="R6952"/>
      <c r="S6952"/>
    </row>
    <row r="6953" spans="18:19" x14ac:dyDescent="0.25">
      <c r="R6953"/>
      <c r="S6953"/>
    </row>
    <row r="6954" spans="18:19" x14ac:dyDescent="0.25">
      <c r="R6954"/>
      <c r="S6954"/>
    </row>
    <row r="6955" spans="18:19" x14ac:dyDescent="0.25">
      <c r="R6955"/>
      <c r="S6955"/>
    </row>
    <row r="6956" spans="18:19" x14ac:dyDescent="0.25">
      <c r="R6956"/>
      <c r="S6956"/>
    </row>
    <row r="6957" spans="18:19" x14ac:dyDescent="0.25">
      <c r="R6957"/>
      <c r="S6957"/>
    </row>
    <row r="6958" spans="18:19" x14ac:dyDescent="0.25">
      <c r="R6958"/>
      <c r="S6958"/>
    </row>
    <row r="6959" spans="18:19" x14ac:dyDescent="0.25">
      <c r="R6959"/>
      <c r="S6959"/>
    </row>
    <row r="6960" spans="18:19" x14ac:dyDescent="0.25">
      <c r="R6960"/>
      <c r="S6960"/>
    </row>
    <row r="6961" spans="18:19" x14ac:dyDescent="0.25">
      <c r="R6961"/>
      <c r="S6961"/>
    </row>
    <row r="6962" spans="18:19" x14ac:dyDescent="0.25">
      <c r="R6962"/>
      <c r="S6962"/>
    </row>
    <row r="6963" spans="18:19" x14ac:dyDescent="0.25">
      <c r="R6963"/>
      <c r="S6963"/>
    </row>
    <row r="6964" spans="18:19" x14ac:dyDescent="0.25">
      <c r="R6964"/>
      <c r="S6964"/>
    </row>
    <row r="6965" spans="18:19" x14ac:dyDescent="0.25">
      <c r="R6965"/>
      <c r="S6965"/>
    </row>
    <row r="6966" spans="18:19" x14ac:dyDescent="0.25">
      <c r="R6966"/>
      <c r="S6966"/>
    </row>
    <row r="6967" spans="18:19" x14ac:dyDescent="0.25">
      <c r="R6967"/>
      <c r="S6967"/>
    </row>
    <row r="6968" spans="18:19" x14ac:dyDescent="0.25">
      <c r="R6968"/>
      <c r="S6968"/>
    </row>
    <row r="6969" spans="18:19" x14ac:dyDescent="0.25">
      <c r="R6969"/>
      <c r="S6969"/>
    </row>
    <row r="6970" spans="18:19" x14ac:dyDescent="0.25">
      <c r="R6970"/>
      <c r="S6970"/>
    </row>
    <row r="6971" spans="18:19" x14ac:dyDescent="0.25">
      <c r="R6971"/>
      <c r="S6971"/>
    </row>
    <row r="6972" spans="18:19" x14ac:dyDescent="0.25">
      <c r="R6972"/>
      <c r="S6972"/>
    </row>
    <row r="6973" spans="18:19" x14ac:dyDescent="0.25">
      <c r="R6973"/>
      <c r="S6973"/>
    </row>
    <row r="6974" spans="18:19" x14ac:dyDescent="0.25">
      <c r="R6974"/>
      <c r="S6974"/>
    </row>
    <row r="6975" spans="18:19" x14ac:dyDescent="0.25">
      <c r="R6975"/>
      <c r="S6975"/>
    </row>
    <row r="6976" spans="18:19" x14ac:dyDescent="0.25">
      <c r="R6976"/>
      <c r="S6976"/>
    </row>
    <row r="6977" spans="18:19" x14ac:dyDescent="0.25">
      <c r="R6977"/>
      <c r="S6977"/>
    </row>
    <row r="6978" spans="18:19" x14ac:dyDescent="0.25">
      <c r="R6978"/>
      <c r="S6978"/>
    </row>
    <row r="6979" spans="18:19" x14ac:dyDescent="0.25">
      <c r="R6979"/>
      <c r="S6979"/>
    </row>
    <row r="6980" spans="18:19" x14ac:dyDescent="0.25">
      <c r="R6980"/>
      <c r="S6980"/>
    </row>
    <row r="6981" spans="18:19" x14ac:dyDescent="0.25">
      <c r="R6981"/>
      <c r="S6981"/>
    </row>
    <row r="6982" spans="18:19" x14ac:dyDescent="0.25">
      <c r="R6982"/>
      <c r="S6982"/>
    </row>
    <row r="6983" spans="18:19" x14ac:dyDescent="0.25">
      <c r="R6983"/>
      <c r="S6983"/>
    </row>
    <row r="6984" spans="18:19" x14ac:dyDescent="0.25">
      <c r="R6984"/>
      <c r="S6984"/>
    </row>
    <row r="6985" spans="18:19" x14ac:dyDescent="0.25">
      <c r="R6985"/>
      <c r="S6985"/>
    </row>
    <row r="6986" spans="18:19" x14ac:dyDescent="0.25">
      <c r="R6986"/>
      <c r="S6986"/>
    </row>
    <row r="6987" spans="18:19" x14ac:dyDescent="0.25">
      <c r="R6987"/>
      <c r="S6987"/>
    </row>
    <row r="6988" spans="18:19" x14ac:dyDescent="0.25">
      <c r="R6988"/>
      <c r="S6988"/>
    </row>
    <row r="6989" spans="18:19" x14ac:dyDescent="0.25">
      <c r="R6989"/>
      <c r="S6989"/>
    </row>
    <row r="6990" spans="18:19" x14ac:dyDescent="0.25">
      <c r="R6990"/>
      <c r="S6990"/>
    </row>
    <row r="6991" spans="18:19" x14ac:dyDescent="0.25">
      <c r="R6991"/>
      <c r="S6991"/>
    </row>
    <row r="6992" spans="18:19" x14ac:dyDescent="0.25">
      <c r="R6992"/>
      <c r="S6992"/>
    </row>
    <row r="6993" spans="18:19" x14ac:dyDescent="0.25">
      <c r="R6993"/>
      <c r="S6993"/>
    </row>
    <row r="6994" spans="18:19" x14ac:dyDescent="0.25">
      <c r="R6994"/>
      <c r="S6994"/>
    </row>
    <row r="6995" spans="18:19" x14ac:dyDescent="0.25">
      <c r="R6995"/>
      <c r="S6995"/>
    </row>
    <row r="6996" spans="18:19" x14ac:dyDescent="0.25">
      <c r="R6996"/>
      <c r="S6996"/>
    </row>
    <row r="6997" spans="18:19" x14ac:dyDescent="0.25">
      <c r="R6997"/>
      <c r="S6997"/>
    </row>
    <row r="6998" spans="18:19" x14ac:dyDescent="0.25">
      <c r="R6998"/>
      <c r="S6998"/>
    </row>
    <row r="6999" spans="18:19" x14ac:dyDescent="0.25">
      <c r="R6999"/>
      <c r="S6999"/>
    </row>
    <row r="7000" spans="18:19" x14ac:dyDescent="0.25">
      <c r="R7000"/>
      <c r="S7000"/>
    </row>
    <row r="7001" spans="18:19" x14ac:dyDescent="0.25">
      <c r="R7001"/>
      <c r="S7001"/>
    </row>
    <row r="7002" spans="18:19" x14ac:dyDescent="0.25">
      <c r="R7002"/>
      <c r="S7002"/>
    </row>
    <row r="7003" spans="18:19" x14ac:dyDescent="0.25">
      <c r="R7003"/>
      <c r="S7003"/>
    </row>
    <row r="7004" spans="18:19" x14ac:dyDescent="0.25">
      <c r="R7004"/>
      <c r="S7004"/>
    </row>
    <row r="7005" spans="18:19" x14ac:dyDescent="0.25">
      <c r="R7005"/>
      <c r="S7005"/>
    </row>
    <row r="7006" spans="18:19" x14ac:dyDescent="0.25">
      <c r="R7006"/>
      <c r="S7006"/>
    </row>
    <row r="7007" spans="18:19" x14ac:dyDescent="0.25">
      <c r="R7007"/>
      <c r="S7007"/>
    </row>
    <row r="7008" spans="18:19" x14ac:dyDescent="0.25">
      <c r="R7008"/>
      <c r="S7008"/>
    </row>
    <row r="7009" spans="18:19" x14ac:dyDescent="0.25">
      <c r="R7009"/>
      <c r="S7009"/>
    </row>
    <row r="7010" spans="18:19" x14ac:dyDescent="0.25">
      <c r="R7010"/>
      <c r="S7010"/>
    </row>
    <row r="7011" spans="18:19" x14ac:dyDescent="0.25">
      <c r="R7011"/>
      <c r="S7011"/>
    </row>
    <row r="7012" spans="18:19" x14ac:dyDescent="0.25">
      <c r="R7012"/>
      <c r="S7012"/>
    </row>
    <row r="7013" spans="18:19" x14ac:dyDescent="0.25">
      <c r="R7013"/>
      <c r="S7013"/>
    </row>
    <row r="7014" spans="18:19" x14ac:dyDescent="0.25">
      <c r="R7014"/>
      <c r="S7014"/>
    </row>
    <row r="7015" spans="18:19" x14ac:dyDescent="0.25">
      <c r="R7015"/>
      <c r="S7015"/>
    </row>
    <row r="7016" spans="18:19" x14ac:dyDescent="0.25">
      <c r="R7016"/>
      <c r="S7016"/>
    </row>
    <row r="7017" spans="18:19" x14ac:dyDescent="0.25">
      <c r="R7017"/>
      <c r="S7017"/>
    </row>
    <row r="7018" spans="18:19" x14ac:dyDescent="0.25">
      <c r="R7018"/>
      <c r="S7018"/>
    </row>
    <row r="7019" spans="18:19" x14ac:dyDescent="0.25">
      <c r="R7019"/>
      <c r="S7019"/>
    </row>
    <row r="7020" spans="18:19" x14ac:dyDescent="0.25">
      <c r="R7020"/>
      <c r="S7020"/>
    </row>
    <row r="7021" spans="18:19" x14ac:dyDescent="0.25">
      <c r="R7021"/>
      <c r="S7021"/>
    </row>
    <row r="7022" spans="18:19" x14ac:dyDescent="0.25">
      <c r="R7022"/>
      <c r="S7022"/>
    </row>
    <row r="7023" spans="18:19" x14ac:dyDescent="0.25">
      <c r="R7023"/>
      <c r="S7023"/>
    </row>
    <row r="7024" spans="18:19" x14ac:dyDescent="0.25">
      <c r="R7024"/>
      <c r="S7024"/>
    </row>
    <row r="7025" spans="18:19" x14ac:dyDescent="0.25">
      <c r="R7025"/>
      <c r="S7025"/>
    </row>
    <row r="7026" spans="18:19" x14ac:dyDescent="0.25">
      <c r="R7026"/>
      <c r="S7026"/>
    </row>
    <row r="7027" spans="18:19" x14ac:dyDescent="0.25">
      <c r="R7027"/>
      <c r="S7027"/>
    </row>
    <row r="7028" spans="18:19" x14ac:dyDescent="0.25">
      <c r="R7028"/>
      <c r="S7028"/>
    </row>
    <row r="7029" spans="18:19" x14ac:dyDescent="0.25">
      <c r="R7029"/>
      <c r="S7029"/>
    </row>
    <row r="7030" spans="18:19" x14ac:dyDescent="0.25">
      <c r="R7030"/>
      <c r="S7030"/>
    </row>
    <row r="7031" spans="18:19" x14ac:dyDescent="0.25">
      <c r="R7031"/>
      <c r="S7031"/>
    </row>
    <row r="7032" spans="18:19" x14ac:dyDescent="0.25">
      <c r="R7032"/>
      <c r="S7032"/>
    </row>
    <row r="7033" spans="18:19" x14ac:dyDescent="0.25">
      <c r="R7033"/>
      <c r="S7033"/>
    </row>
    <row r="7034" spans="18:19" x14ac:dyDescent="0.25">
      <c r="R7034"/>
      <c r="S7034"/>
    </row>
    <row r="7035" spans="18:19" x14ac:dyDescent="0.25">
      <c r="R7035"/>
      <c r="S7035"/>
    </row>
    <row r="7036" spans="18:19" x14ac:dyDescent="0.25">
      <c r="R7036"/>
      <c r="S7036"/>
    </row>
    <row r="7037" spans="18:19" x14ac:dyDescent="0.25">
      <c r="R7037"/>
      <c r="S7037"/>
    </row>
    <row r="7038" spans="18:19" x14ac:dyDescent="0.25">
      <c r="R7038"/>
      <c r="S7038"/>
    </row>
    <row r="7039" spans="18:19" x14ac:dyDescent="0.25">
      <c r="R7039"/>
      <c r="S7039"/>
    </row>
    <row r="7040" spans="18:19" x14ac:dyDescent="0.25">
      <c r="R7040"/>
      <c r="S7040"/>
    </row>
    <row r="7041" spans="18:19" x14ac:dyDescent="0.25">
      <c r="R7041"/>
      <c r="S7041"/>
    </row>
    <row r="7042" spans="18:19" x14ac:dyDescent="0.25">
      <c r="R7042"/>
      <c r="S7042"/>
    </row>
    <row r="7043" spans="18:19" x14ac:dyDescent="0.25">
      <c r="R7043"/>
      <c r="S7043"/>
    </row>
    <row r="7044" spans="18:19" x14ac:dyDescent="0.25">
      <c r="R7044"/>
      <c r="S7044"/>
    </row>
    <row r="7045" spans="18:19" x14ac:dyDescent="0.25">
      <c r="R7045"/>
      <c r="S7045"/>
    </row>
    <row r="7046" spans="18:19" x14ac:dyDescent="0.25">
      <c r="R7046"/>
      <c r="S7046"/>
    </row>
    <row r="7047" spans="18:19" x14ac:dyDescent="0.25">
      <c r="R7047"/>
      <c r="S7047"/>
    </row>
    <row r="7048" spans="18:19" x14ac:dyDescent="0.25">
      <c r="R7048"/>
      <c r="S7048"/>
    </row>
    <row r="7049" spans="18:19" x14ac:dyDescent="0.25">
      <c r="R7049"/>
      <c r="S7049"/>
    </row>
    <row r="7050" spans="18:19" x14ac:dyDescent="0.25">
      <c r="R7050"/>
      <c r="S7050"/>
    </row>
    <row r="7051" spans="18:19" x14ac:dyDescent="0.25">
      <c r="R7051"/>
      <c r="S7051"/>
    </row>
    <row r="7052" spans="18:19" x14ac:dyDescent="0.25">
      <c r="R7052"/>
      <c r="S7052"/>
    </row>
    <row r="7053" spans="18:19" x14ac:dyDescent="0.25">
      <c r="R7053"/>
      <c r="S7053"/>
    </row>
    <row r="7054" spans="18:19" x14ac:dyDescent="0.25">
      <c r="R7054"/>
      <c r="S7054"/>
    </row>
    <row r="7055" spans="18:19" x14ac:dyDescent="0.25">
      <c r="R7055"/>
      <c r="S7055"/>
    </row>
    <row r="7056" spans="18:19" x14ac:dyDescent="0.25">
      <c r="R7056"/>
      <c r="S7056"/>
    </row>
    <row r="7057" spans="18:19" x14ac:dyDescent="0.25">
      <c r="R7057"/>
      <c r="S7057"/>
    </row>
    <row r="7058" spans="18:19" x14ac:dyDescent="0.25">
      <c r="R7058"/>
      <c r="S7058"/>
    </row>
    <row r="7059" spans="18:19" x14ac:dyDescent="0.25">
      <c r="R7059"/>
      <c r="S7059"/>
    </row>
    <row r="7060" spans="18:19" x14ac:dyDescent="0.25">
      <c r="R7060"/>
      <c r="S7060"/>
    </row>
    <row r="7061" spans="18:19" x14ac:dyDescent="0.25">
      <c r="R7061"/>
      <c r="S7061"/>
    </row>
    <row r="7062" spans="18:19" x14ac:dyDescent="0.25">
      <c r="R7062"/>
      <c r="S7062"/>
    </row>
    <row r="7063" spans="18:19" x14ac:dyDescent="0.25">
      <c r="R7063"/>
      <c r="S7063"/>
    </row>
    <row r="7064" spans="18:19" x14ac:dyDescent="0.25">
      <c r="R7064"/>
      <c r="S7064"/>
    </row>
    <row r="7065" spans="18:19" x14ac:dyDescent="0.25">
      <c r="R7065"/>
      <c r="S7065"/>
    </row>
    <row r="7066" spans="18:19" x14ac:dyDescent="0.25">
      <c r="R7066"/>
      <c r="S7066"/>
    </row>
    <row r="7067" spans="18:19" x14ac:dyDescent="0.25">
      <c r="R7067"/>
      <c r="S7067"/>
    </row>
    <row r="7068" spans="18:19" x14ac:dyDescent="0.25">
      <c r="R7068"/>
      <c r="S7068"/>
    </row>
    <row r="7069" spans="18:19" x14ac:dyDescent="0.25">
      <c r="R7069"/>
      <c r="S7069"/>
    </row>
    <row r="7070" spans="18:19" x14ac:dyDescent="0.25">
      <c r="R7070"/>
      <c r="S7070"/>
    </row>
    <row r="7071" spans="18:19" x14ac:dyDescent="0.25">
      <c r="R7071"/>
      <c r="S7071"/>
    </row>
    <row r="7072" spans="18:19" x14ac:dyDescent="0.25">
      <c r="R7072"/>
      <c r="S7072"/>
    </row>
    <row r="7073" spans="18:19" x14ac:dyDescent="0.25">
      <c r="R7073"/>
      <c r="S7073"/>
    </row>
    <row r="7074" spans="18:19" x14ac:dyDescent="0.25">
      <c r="R7074"/>
      <c r="S7074"/>
    </row>
    <row r="7075" spans="18:19" x14ac:dyDescent="0.25">
      <c r="R7075"/>
      <c r="S7075"/>
    </row>
    <row r="7076" spans="18:19" x14ac:dyDescent="0.25">
      <c r="R7076"/>
      <c r="S7076"/>
    </row>
    <row r="7077" spans="18:19" x14ac:dyDescent="0.25">
      <c r="R7077"/>
      <c r="S7077"/>
    </row>
    <row r="7078" spans="18:19" x14ac:dyDescent="0.25">
      <c r="R7078"/>
      <c r="S7078"/>
    </row>
    <row r="7079" spans="18:19" x14ac:dyDescent="0.25">
      <c r="R7079"/>
      <c r="S7079"/>
    </row>
    <row r="7080" spans="18:19" x14ac:dyDescent="0.25">
      <c r="R7080"/>
      <c r="S7080"/>
    </row>
    <row r="7081" spans="18:19" x14ac:dyDescent="0.25">
      <c r="R7081"/>
      <c r="S7081"/>
    </row>
    <row r="7082" spans="18:19" x14ac:dyDescent="0.25">
      <c r="R7082"/>
      <c r="S7082"/>
    </row>
    <row r="7083" spans="18:19" x14ac:dyDescent="0.25">
      <c r="R7083"/>
      <c r="S7083"/>
    </row>
    <row r="7084" spans="18:19" x14ac:dyDescent="0.25">
      <c r="R7084"/>
      <c r="S7084"/>
    </row>
    <row r="7085" spans="18:19" x14ac:dyDescent="0.25">
      <c r="R7085"/>
      <c r="S7085"/>
    </row>
    <row r="7086" spans="18:19" x14ac:dyDescent="0.25">
      <c r="R7086"/>
      <c r="S7086"/>
    </row>
    <row r="7087" spans="18:19" x14ac:dyDescent="0.25">
      <c r="R7087"/>
      <c r="S7087"/>
    </row>
    <row r="7088" spans="18:19" x14ac:dyDescent="0.25">
      <c r="R7088"/>
      <c r="S7088"/>
    </row>
    <row r="7089" spans="18:19" x14ac:dyDescent="0.25">
      <c r="R7089"/>
      <c r="S7089"/>
    </row>
    <row r="7090" spans="18:19" x14ac:dyDescent="0.25">
      <c r="R7090"/>
      <c r="S7090"/>
    </row>
    <row r="7091" spans="18:19" x14ac:dyDescent="0.25">
      <c r="R7091"/>
      <c r="S7091"/>
    </row>
    <row r="7092" spans="18:19" x14ac:dyDescent="0.25">
      <c r="R7092"/>
      <c r="S7092"/>
    </row>
    <row r="7093" spans="18:19" x14ac:dyDescent="0.25">
      <c r="R7093"/>
      <c r="S7093"/>
    </row>
    <row r="7094" spans="18:19" x14ac:dyDescent="0.25">
      <c r="R7094"/>
      <c r="S7094"/>
    </row>
    <row r="7095" spans="18:19" x14ac:dyDescent="0.25">
      <c r="R7095"/>
      <c r="S7095"/>
    </row>
    <row r="7096" spans="18:19" x14ac:dyDescent="0.25">
      <c r="R7096"/>
      <c r="S7096"/>
    </row>
    <row r="7097" spans="18:19" x14ac:dyDescent="0.25">
      <c r="R7097"/>
      <c r="S7097"/>
    </row>
    <row r="7098" spans="18:19" x14ac:dyDescent="0.25">
      <c r="R7098"/>
      <c r="S7098"/>
    </row>
    <row r="7099" spans="18:19" x14ac:dyDescent="0.25">
      <c r="R7099"/>
      <c r="S7099"/>
    </row>
    <row r="7100" spans="18:19" x14ac:dyDescent="0.25">
      <c r="R7100"/>
      <c r="S7100"/>
    </row>
    <row r="7101" spans="18:19" x14ac:dyDescent="0.25">
      <c r="R7101"/>
      <c r="S7101"/>
    </row>
    <row r="7102" spans="18:19" x14ac:dyDescent="0.25">
      <c r="R7102"/>
      <c r="S7102"/>
    </row>
    <row r="7103" spans="18:19" x14ac:dyDescent="0.25">
      <c r="R7103"/>
      <c r="S7103"/>
    </row>
    <row r="7104" spans="18:19" x14ac:dyDescent="0.25">
      <c r="R7104"/>
      <c r="S7104"/>
    </row>
    <row r="7105" spans="18:19" x14ac:dyDescent="0.25">
      <c r="R7105"/>
      <c r="S7105"/>
    </row>
    <row r="7106" spans="18:19" x14ac:dyDescent="0.25">
      <c r="R7106"/>
      <c r="S7106"/>
    </row>
    <row r="7107" spans="18:19" x14ac:dyDescent="0.25">
      <c r="R7107"/>
      <c r="S7107"/>
    </row>
    <row r="7108" spans="18:19" x14ac:dyDescent="0.25">
      <c r="R7108"/>
      <c r="S7108"/>
    </row>
    <row r="7109" spans="18:19" x14ac:dyDescent="0.25">
      <c r="R7109"/>
      <c r="S7109"/>
    </row>
    <row r="7110" spans="18:19" x14ac:dyDescent="0.25">
      <c r="R7110"/>
      <c r="S7110"/>
    </row>
    <row r="7111" spans="18:19" x14ac:dyDescent="0.25">
      <c r="R7111"/>
      <c r="S7111"/>
    </row>
    <row r="7112" spans="18:19" x14ac:dyDescent="0.25">
      <c r="R7112"/>
      <c r="S7112"/>
    </row>
    <row r="7113" spans="18:19" x14ac:dyDescent="0.25">
      <c r="R7113"/>
      <c r="S7113"/>
    </row>
    <row r="7114" spans="18:19" x14ac:dyDescent="0.25">
      <c r="R7114"/>
      <c r="S7114"/>
    </row>
    <row r="7115" spans="18:19" x14ac:dyDescent="0.25">
      <c r="R7115"/>
      <c r="S7115"/>
    </row>
    <row r="7116" spans="18:19" x14ac:dyDescent="0.25">
      <c r="R7116"/>
      <c r="S7116"/>
    </row>
    <row r="7117" spans="18:19" x14ac:dyDescent="0.25">
      <c r="R7117"/>
      <c r="S7117"/>
    </row>
    <row r="7118" spans="18:19" x14ac:dyDescent="0.25">
      <c r="R7118"/>
      <c r="S7118"/>
    </row>
    <row r="7119" spans="18:19" x14ac:dyDescent="0.25">
      <c r="R7119"/>
      <c r="S7119"/>
    </row>
    <row r="7120" spans="18:19" x14ac:dyDescent="0.25">
      <c r="R7120"/>
      <c r="S7120"/>
    </row>
    <row r="7121" spans="18:19" x14ac:dyDescent="0.25">
      <c r="R7121"/>
      <c r="S7121"/>
    </row>
    <row r="7122" spans="18:19" x14ac:dyDescent="0.25">
      <c r="R7122"/>
      <c r="S7122"/>
    </row>
    <row r="7123" spans="18:19" x14ac:dyDescent="0.25">
      <c r="R7123"/>
      <c r="S7123"/>
    </row>
    <row r="7124" spans="18:19" x14ac:dyDescent="0.25">
      <c r="R7124"/>
      <c r="S7124"/>
    </row>
    <row r="7125" spans="18:19" x14ac:dyDescent="0.25">
      <c r="R7125"/>
      <c r="S7125"/>
    </row>
    <row r="7126" spans="18:19" x14ac:dyDescent="0.25">
      <c r="R7126"/>
      <c r="S7126"/>
    </row>
    <row r="7127" spans="18:19" x14ac:dyDescent="0.25">
      <c r="R7127"/>
      <c r="S7127"/>
    </row>
    <row r="7128" spans="18:19" x14ac:dyDescent="0.25">
      <c r="R7128"/>
      <c r="S7128"/>
    </row>
    <row r="7129" spans="18:19" x14ac:dyDescent="0.25">
      <c r="R7129"/>
      <c r="S7129"/>
    </row>
    <row r="7130" spans="18:19" x14ac:dyDescent="0.25">
      <c r="R7130"/>
      <c r="S7130"/>
    </row>
    <row r="7131" spans="18:19" x14ac:dyDescent="0.25">
      <c r="R7131"/>
      <c r="S7131"/>
    </row>
    <row r="7132" spans="18:19" x14ac:dyDescent="0.25">
      <c r="R7132"/>
      <c r="S7132"/>
    </row>
    <row r="7133" spans="18:19" x14ac:dyDescent="0.25">
      <c r="R7133"/>
      <c r="S7133"/>
    </row>
    <row r="7134" spans="18:19" x14ac:dyDescent="0.25">
      <c r="R7134"/>
      <c r="S7134"/>
    </row>
    <row r="7135" spans="18:19" x14ac:dyDescent="0.25">
      <c r="R7135"/>
      <c r="S7135"/>
    </row>
    <row r="7136" spans="18:19" x14ac:dyDescent="0.25">
      <c r="R7136"/>
      <c r="S7136"/>
    </row>
    <row r="7137" spans="18:19" x14ac:dyDescent="0.25">
      <c r="R7137"/>
      <c r="S7137"/>
    </row>
    <row r="7138" spans="18:19" x14ac:dyDescent="0.25">
      <c r="R7138"/>
      <c r="S7138"/>
    </row>
    <row r="7139" spans="18:19" x14ac:dyDescent="0.25">
      <c r="R7139"/>
      <c r="S7139"/>
    </row>
    <row r="7140" spans="18:19" x14ac:dyDescent="0.25">
      <c r="R7140"/>
      <c r="S7140"/>
    </row>
    <row r="7141" spans="18:19" x14ac:dyDescent="0.25">
      <c r="R7141"/>
      <c r="S7141"/>
    </row>
    <row r="7142" spans="18:19" x14ac:dyDescent="0.25">
      <c r="R7142"/>
      <c r="S7142"/>
    </row>
    <row r="7143" spans="18:19" x14ac:dyDescent="0.25">
      <c r="R7143"/>
      <c r="S7143"/>
    </row>
    <row r="7144" spans="18:19" x14ac:dyDescent="0.25">
      <c r="R7144"/>
      <c r="S7144"/>
    </row>
    <row r="7145" spans="18:19" x14ac:dyDescent="0.25">
      <c r="R7145"/>
      <c r="S7145"/>
    </row>
    <row r="7146" spans="18:19" x14ac:dyDescent="0.25">
      <c r="R7146"/>
      <c r="S7146"/>
    </row>
    <row r="7147" spans="18:19" x14ac:dyDescent="0.25">
      <c r="R7147"/>
      <c r="S7147"/>
    </row>
    <row r="7148" spans="18:19" x14ac:dyDescent="0.25">
      <c r="R7148"/>
      <c r="S7148"/>
    </row>
    <row r="7149" spans="18:19" x14ac:dyDescent="0.25">
      <c r="R7149"/>
      <c r="S7149"/>
    </row>
    <row r="7150" spans="18:19" x14ac:dyDescent="0.25">
      <c r="R7150"/>
      <c r="S7150"/>
    </row>
    <row r="7151" spans="18:19" x14ac:dyDescent="0.25">
      <c r="R7151"/>
      <c r="S7151"/>
    </row>
    <row r="7152" spans="18:19" x14ac:dyDescent="0.25">
      <c r="R7152"/>
      <c r="S7152"/>
    </row>
    <row r="7153" spans="18:19" x14ac:dyDescent="0.25">
      <c r="R7153"/>
      <c r="S7153"/>
    </row>
    <row r="7154" spans="18:19" x14ac:dyDescent="0.25">
      <c r="R7154"/>
      <c r="S7154"/>
    </row>
    <row r="7155" spans="18:19" x14ac:dyDescent="0.25">
      <c r="R7155"/>
      <c r="S7155"/>
    </row>
    <row r="7156" spans="18:19" x14ac:dyDescent="0.25">
      <c r="R7156"/>
      <c r="S7156"/>
    </row>
    <row r="7157" spans="18:19" x14ac:dyDescent="0.25">
      <c r="R7157"/>
      <c r="S7157"/>
    </row>
    <row r="7158" spans="18:19" x14ac:dyDescent="0.25">
      <c r="R7158"/>
      <c r="S7158"/>
    </row>
    <row r="7159" spans="18:19" x14ac:dyDescent="0.25">
      <c r="R7159"/>
      <c r="S7159"/>
    </row>
    <row r="7160" spans="18:19" x14ac:dyDescent="0.25">
      <c r="R7160"/>
      <c r="S7160"/>
    </row>
    <row r="7161" spans="18:19" x14ac:dyDescent="0.25">
      <c r="R7161"/>
      <c r="S7161"/>
    </row>
    <row r="7162" spans="18:19" x14ac:dyDescent="0.25">
      <c r="R7162"/>
      <c r="S7162"/>
    </row>
    <row r="7163" spans="18:19" x14ac:dyDescent="0.25">
      <c r="R7163"/>
      <c r="S7163"/>
    </row>
    <row r="7164" spans="18:19" x14ac:dyDescent="0.25">
      <c r="R7164"/>
      <c r="S7164"/>
    </row>
    <row r="7165" spans="18:19" x14ac:dyDescent="0.25">
      <c r="R7165"/>
      <c r="S7165"/>
    </row>
    <row r="7166" spans="18:19" x14ac:dyDescent="0.25">
      <c r="R7166"/>
      <c r="S7166"/>
    </row>
    <row r="7167" spans="18:19" x14ac:dyDescent="0.25">
      <c r="R7167"/>
      <c r="S7167"/>
    </row>
    <row r="7168" spans="18:19" x14ac:dyDescent="0.25">
      <c r="R7168"/>
      <c r="S7168"/>
    </row>
    <row r="7169" spans="18:19" x14ac:dyDescent="0.25">
      <c r="R7169"/>
      <c r="S7169"/>
    </row>
    <row r="7170" spans="18:19" x14ac:dyDescent="0.25">
      <c r="R7170"/>
      <c r="S7170"/>
    </row>
    <row r="7171" spans="18:19" x14ac:dyDescent="0.25">
      <c r="R7171"/>
      <c r="S7171"/>
    </row>
    <row r="7172" spans="18:19" x14ac:dyDescent="0.25">
      <c r="R7172"/>
      <c r="S7172"/>
    </row>
    <row r="7173" spans="18:19" x14ac:dyDescent="0.25">
      <c r="R7173"/>
      <c r="S7173"/>
    </row>
    <row r="7174" spans="18:19" x14ac:dyDescent="0.25">
      <c r="R7174"/>
      <c r="S7174"/>
    </row>
    <row r="7175" spans="18:19" x14ac:dyDescent="0.25">
      <c r="R7175"/>
      <c r="S7175"/>
    </row>
    <row r="7176" spans="18:19" x14ac:dyDescent="0.25">
      <c r="R7176"/>
      <c r="S7176"/>
    </row>
    <row r="7177" spans="18:19" x14ac:dyDescent="0.25">
      <c r="R7177"/>
      <c r="S7177"/>
    </row>
    <row r="7178" spans="18:19" x14ac:dyDescent="0.25">
      <c r="R7178"/>
      <c r="S7178"/>
    </row>
    <row r="7179" spans="18:19" x14ac:dyDescent="0.25">
      <c r="R7179"/>
      <c r="S7179"/>
    </row>
    <row r="7180" spans="18:19" x14ac:dyDescent="0.25">
      <c r="R7180"/>
      <c r="S7180"/>
    </row>
    <row r="7181" spans="18:19" x14ac:dyDescent="0.25">
      <c r="R7181"/>
      <c r="S7181"/>
    </row>
    <row r="7182" spans="18:19" x14ac:dyDescent="0.25">
      <c r="R7182"/>
      <c r="S7182"/>
    </row>
    <row r="7183" spans="18:19" x14ac:dyDescent="0.25">
      <c r="R7183"/>
      <c r="S7183"/>
    </row>
    <row r="7184" spans="18:19" x14ac:dyDescent="0.25">
      <c r="R7184"/>
      <c r="S7184"/>
    </row>
    <row r="7185" spans="18:19" x14ac:dyDescent="0.25">
      <c r="R7185"/>
      <c r="S7185"/>
    </row>
    <row r="7186" spans="18:19" x14ac:dyDescent="0.25">
      <c r="R7186"/>
      <c r="S7186"/>
    </row>
    <row r="7187" spans="18:19" x14ac:dyDescent="0.25">
      <c r="R7187"/>
      <c r="S7187"/>
    </row>
    <row r="7188" spans="18:19" x14ac:dyDescent="0.25">
      <c r="R7188"/>
      <c r="S7188"/>
    </row>
    <row r="7189" spans="18:19" x14ac:dyDescent="0.25">
      <c r="R7189"/>
      <c r="S7189"/>
    </row>
    <row r="7190" spans="18:19" x14ac:dyDescent="0.25">
      <c r="R7190"/>
      <c r="S7190"/>
    </row>
    <row r="7191" spans="18:19" x14ac:dyDescent="0.25">
      <c r="R7191"/>
      <c r="S7191"/>
    </row>
    <row r="7192" spans="18:19" x14ac:dyDescent="0.25">
      <c r="R7192"/>
      <c r="S7192"/>
    </row>
    <row r="7193" spans="18:19" x14ac:dyDescent="0.25">
      <c r="R7193"/>
      <c r="S7193"/>
    </row>
    <row r="7194" spans="18:19" x14ac:dyDescent="0.25">
      <c r="R7194"/>
      <c r="S7194"/>
    </row>
    <row r="7195" spans="18:19" x14ac:dyDescent="0.25">
      <c r="R7195"/>
      <c r="S7195"/>
    </row>
    <row r="7196" spans="18:19" x14ac:dyDescent="0.25">
      <c r="R7196"/>
      <c r="S7196"/>
    </row>
    <row r="7197" spans="18:19" x14ac:dyDescent="0.25">
      <c r="R7197"/>
      <c r="S7197"/>
    </row>
    <row r="7198" spans="18:19" x14ac:dyDescent="0.25">
      <c r="R7198"/>
      <c r="S7198"/>
    </row>
    <row r="7199" spans="18:19" x14ac:dyDescent="0.25">
      <c r="R7199"/>
      <c r="S7199"/>
    </row>
    <row r="7200" spans="18:19" x14ac:dyDescent="0.25">
      <c r="R7200"/>
      <c r="S7200"/>
    </row>
    <row r="7201" spans="18:19" x14ac:dyDescent="0.25">
      <c r="R7201"/>
      <c r="S7201"/>
    </row>
    <row r="7202" spans="18:19" x14ac:dyDescent="0.25">
      <c r="R7202"/>
      <c r="S7202"/>
    </row>
    <row r="7203" spans="18:19" x14ac:dyDescent="0.25">
      <c r="R7203"/>
      <c r="S7203"/>
    </row>
    <row r="7204" spans="18:19" x14ac:dyDescent="0.25">
      <c r="R7204"/>
      <c r="S7204"/>
    </row>
    <row r="7205" spans="18:19" x14ac:dyDescent="0.25">
      <c r="R7205"/>
      <c r="S7205"/>
    </row>
    <row r="7206" spans="18:19" x14ac:dyDescent="0.25">
      <c r="R7206"/>
      <c r="S7206"/>
    </row>
    <row r="7207" spans="18:19" x14ac:dyDescent="0.25">
      <c r="R7207"/>
      <c r="S7207"/>
    </row>
    <row r="7208" spans="18:19" x14ac:dyDescent="0.25">
      <c r="R7208"/>
      <c r="S7208"/>
    </row>
    <row r="7209" spans="18:19" x14ac:dyDescent="0.25">
      <c r="R7209"/>
      <c r="S7209"/>
    </row>
    <row r="7210" spans="18:19" x14ac:dyDescent="0.25">
      <c r="R7210"/>
      <c r="S7210"/>
    </row>
    <row r="7211" spans="18:19" x14ac:dyDescent="0.25">
      <c r="R7211"/>
      <c r="S7211"/>
    </row>
    <row r="7212" spans="18:19" x14ac:dyDescent="0.25">
      <c r="R7212"/>
      <c r="S7212"/>
    </row>
    <row r="7213" spans="18:19" x14ac:dyDescent="0.25">
      <c r="R7213"/>
      <c r="S7213"/>
    </row>
    <row r="7214" spans="18:19" x14ac:dyDescent="0.25">
      <c r="R7214"/>
      <c r="S7214"/>
    </row>
    <row r="7215" spans="18:19" x14ac:dyDescent="0.25">
      <c r="R7215"/>
      <c r="S7215"/>
    </row>
    <row r="7216" spans="18:19" x14ac:dyDescent="0.25">
      <c r="R7216"/>
      <c r="S7216"/>
    </row>
    <row r="7217" spans="18:19" x14ac:dyDescent="0.25">
      <c r="R7217"/>
      <c r="S7217"/>
    </row>
    <row r="7218" spans="18:19" x14ac:dyDescent="0.25">
      <c r="R7218"/>
      <c r="S7218"/>
    </row>
    <row r="7219" spans="18:19" x14ac:dyDescent="0.25">
      <c r="R7219"/>
      <c r="S7219"/>
    </row>
    <row r="7220" spans="18:19" x14ac:dyDescent="0.25">
      <c r="R7220"/>
      <c r="S7220"/>
    </row>
    <row r="7221" spans="18:19" x14ac:dyDescent="0.25">
      <c r="R7221"/>
      <c r="S7221"/>
    </row>
    <row r="7222" spans="18:19" x14ac:dyDescent="0.25">
      <c r="R7222"/>
      <c r="S7222"/>
    </row>
    <row r="7223" spans="18:19" x14ac:dyDescent="0.25">
      <c r="R7223"/>
      <c r="S7223"/>
    </row>
    <row r="7224" spans="18:19" x14ac:dyDescent="0.25">
      <c r="R7224"/>
      <c r="S7224"/>
    </row>
    <row r="7225" spans="18:19" x14ac:dyDescent="0.25">
      <c r="R7225"/>
      <c r="S7225"/>
    </row>
    <row r="7226" spans="18:19" x14ac:dyDescent="0.25">
      <c r="R7226"/>
      <c r="S7226"/>
    </row>
    <row r="7227" spans="18:19" x14ac:dyDescent="0.25">
      <c r="R7227"/>
      <c r="S7227"/>
    </row>
    <row r="7228" spans="18:19" x14ac:dyDescent="0.25">
      <c r="R7228"/>
      <c r="S7228"/>
    </row>
    <row r="7229" spans="18:19" x14ac:dyDescent="0.25">
      <c r="R7229"/>
      <c r="S7229"/>
    </row>
    <row r="7230" spans="18:19" x14ac:dyDescent="0.25">
      <c r="R7230"/>
      <c r="S7230"/>
    </row>
    <row r="7231" spans="18:19" x14ac:dyDescent="0.25">
      <c r="R7231"/>
      <c r="S7231"/>
    </row>
    <row r="7232" spans="18:19" x14ac:dyDescent="0.25">
      <c r="R7232"/>
      <c r="S7232"/>
    </row>
    <row r="7233" spans="18:19" x14ac:dyDescent="0.25">
      <c r="R7233"/>
      <c r="S7233"/>
    </row>
    <row r="7234" spans="18:19" x14ac:dyDescent="0.25">
      <c r="R7234"/>
      <c r="S7234"/>
    </row>
    <row r="7235" spans="18:19" x14ac:dyDescent="0.25">
      <c r="R7235"/>
      <c r="S7235"/>
    </row>
    <row r="7236" spans="18:19" x14ac:dyDescent="0.25">
      <c r="R7236"/>
      <c r="S7236"/>
    </row>
    <row r="7237" spans="18:19" x14ac:dyDescent="0.25">
      <c r="R7237"/>
      <c r="S7237"/>
    </row>
    <row r="7238" spans="18:19" x14ac:dyDescent="0.25">
      <c r="R7238"/>
      <c r="S7238"/>
    </row>
    <row r="7239" spans="18:19" x14ac:dyDescent="0.25">
      <c r="R7239"/>
      <c r="S7239"/>
    </row>
    <row r="7240" spans="18:19" x14ac:dyDescent="0.25">
      <c r="R7240"/>
      <c r="S7240"/>
    </row>
    <row r="7241" spans="18:19" x14ac:dyDescent="0.25">
      <c r="R7241"/>
      <c r="S7241"/>
    </row>
    <row r="7242" spans="18:19" x14ac:dyDescent="0.25">
      <c r="R7242"/>
      <c r="S7242"/>
    </row>
    <row r="7243" spans="18:19" x14ac:dyDescent="0.25">
      <c r="R7243"/>
      <c r="S7243"/>
    </row>
    <row r="7244" spans="18:19" x14ac:dyDescent="0.25">
      <c r="R7244"/>
      <c r="S7244"/>
    </row>
    <row r="7245" spans="18:19" x14ac:dyDescent="0.25">
      <c r="R7245"/>
      <c r="S7245"/>
    </row>
    <row r="7246" spans="18:19" x14ac:dyDescent="0.25">
      <c r="R7246"/>
      <c r="S7246"/>
    </row>
    <row r="7247" spans="18:19" x14ac:dyDescent="0.25">
      <c r="R7247"/>
      <c r="S7247"/>
    </row>
    <row r="7248" spans="18:19" x14ac:dyDescent="0.25">
      <c r="R7248"/>
      <c r="S7248"/>
    </row>
    <row r="7249" spans="18:19" x14ac:dyDescent="0.25">
      <c r="R7249"/>
      <c r="S7249"/>
    </row>
    <row r="7250" spans="18:19" x14ac:dyDescent="0.25">
      <c r="R7250"/>
      <c r="S7250"/>
    </row>
    <row r="7251" spans="18:19" x14ac:dyDescent="0.25">
      <c r="R7251"/>
      <c r="S7251"/>
    </row>
    <row r="7252" spans="18:19" x14ac:dyDescent="0.25">
      <c r="R7252"/>
      <c r="S7252"/>
    </row>
    <row r="7253" spans="18:19" x14ac:dyDescent="0.25">
      <c r="R7253"/>
      <c r="S7253"/>
    </row>
    <row r="7254" spans="18:19" x14ac:dyDescent="0.25">
      <c r="R7254"/>
      <c r="S7254"/>
    </row>
    <row r="7255" spans="18:19" x14ac:dyDescent="0.25">
      <c r="R7255"/>
      <c r="S7255"/>
    </row>
    <row r="7256" spans="18:19" x14ac:dyDescent="0.25">
      <c r="R7256"/>
      <c r="S7256"/>
    </row>
    <row r="7257" spans="18:19" x14ac:dyDescent="0.25">
      <c r="R7257"/>
      <c r="S7257"/>
    </row>
    <row r="7258" spans="18:19" x14ac:dyDescent="0.25">
      <c r="R7258"/>
      <c r="S7258"/>
    </row>
    <row r="7259" spans="18:19" x14ac:dyDescent="0.25">
      <c r="R7259"/>
      <c r="S7259"/>
    </row>
    <row r="7260" spans="18:19" x14ac:dyDescent="0.25">
      <c r="R7260"/>
      <c r="S7260"/>
    </row>
    <row r="7261" spans="18:19" x14ac:dyDescent="0.25">
      <c r="R7261"/>
      <c r="S7261"/>
    </row>
    <row r="7262" spans="18:19" x14ac:dyDescent="0.25">
      <c r="R7262"/>
      <c r="S7262"/>
    </row>
    <row r="7263" spans="18:19" x14ac:dyDescent="0.25">
      <c r="R7263"/>
      <c r="S7263"/>
    </row>
    <row r="7264" spans="18:19" x14ac:dyDescent="0.25">
      <c r="R7264"/>
      <c r="S7264"/>
    </row>
    <row r="7265" spans="18:19" x14ac:dyDescent="0.25">
      <c r="R7265"/>
      <c r="S7265"/>
    </row>
    <row r="7266" spans="18:19" x14ac:dyDescent="0.25">
      <c r="R7266"/>
      <c r="S7266"/>
    </row>
    <row r="7267" spans="18:19" x14ac:dyDescent="0.25">
      <c r="R7267"/>
      <c r="S7267"/>
    </row>
    <row r="7268" spans="18:19" x14ac:dyDescent="0.25">
      <c r="R7268"/>
      <c r="S7268"/>
    </row>
    <row r="7269" spans="18:19" x14ac:dyDescent="0.25">
      <c r="R7269"/>
      <c r="S7269"/>
    </row>
    <row r="7270" spans="18:19" x14ac:dyDescent="0.25">
      <c r="R7270"/>
      <c r="S7270"/>
    </row>
    <row r="7271" spans="18:19" x14ac:dyDescent="0.25">
      <c r="R7271"/>
      <c r="S7271"/>
    </row>
    <row r="7272" spans="18:19" x14ac:dyDescent="0.25">
      <c r="R7272"/>
      <c r="S7272"/>
    </row>
    <row r="7273" spans="18:19" x14ac:dyDescent="0.25">
      <c r="R7273"/>
      <c r="S7273"/>
    </row>
    <row r="7274" spans="18:19" x14ac:dyDescent="0.25">
      <c r="R7274"/>
      <c r="S7274"/>
    </row>
    <row r="7275" spans="18:19" x14ac:dyDescent="0.25">
      <c r="R7275"/>
      <c r="S7275"/>
    </row>
    <row r="7276" spans="18:19" x14ac:dyDescent="0.25">
      <c r="R7276"/>
      <c r="S7276"/>
    </row>
    <row r="7277" spans="18:19" x14ac:dyDescent="0.25">
      <c r="R7277"/>
      <c r="S7277"/>
    </row>
    <row r="7278" spans="18:19" x14ac:dyDescent="0.25">
      <c r="R7278"/>
      <c r="S7278"/>
    </row>
    <row r="7279" spans="18:19" x14ac:dyDescent="0.25">
      <c r="R7279"/>
      <c r="S7279"/>
    </row>
    <row r="7280" spans="18:19" x14ac:dyDescent="0.25">
      <c r="R7280"/>
      <c r="S7280"/>
    </row>
    <row r="7281" spans="18:19" x14ac:dyDescent="0.25">
      <c r="R7281"/>
      <c r="S7281"/>
    </row>
    <row r="7282" spans="18:19" x14ac:dyDescent="0.25">
      <c r="R7282"/>
      <c r="S7282"/>
    </row>
    <row r="7283" spans="18:19" x14ac:dyDescent="0.25">
      <c r="R7283"/>
      <c r="S7283"/>
    </row>
    <row r="7284" spans="18:19" x14ac:dyDescent="0.25">
      <c r="R7284"/>
      <c r="S7284"/>
    </row>
    <row r="7285" spans="18:19" x14ac:dyDescent="0.25">
      <c r="R7285"/>
      <c r="S7285"/>
    </row>
    <row r="7286" spans="18:19" x14ac:dyDescent="0.25">
      <c r="R7286"/>
      <c r="S7286"/>
    </row>
    <row r="7287" spans="18:19" x14ac:dyDescent="0.25">
      <c r="R7287"/>
      <c r="S7287"/>
    </row>
    <row r="7288" spans="18:19" x14ac:dyDescent="0.25">
      <c r="R7288"/>
      <c r="S7288"/>
    </row>
    <row r="7289" spans="18:19" x14ac:dyDescent="0.25">
      <c r="R7289"/>
      <c r="S7289"/>
    </row>
    <row r="7290" spans="18:19" x14ac:dyDescent="0.25">
      <c r="R7290"/>
      <c r="S7290"/>
    </row>
    <row r="7291" spans="18:19" x14ac:dyDescent="0.25">
      <c r="R7291"/>
      <c r="S7291"/>
    </row>
    <row r="7292" spans="18:19" x14ac:dyDescent="0.25">
      <c r="R7292"/>
      <c r="S7292"/>
    </row>
    <row r="7293" spans="18:19" x14ac:dyDescent="0.25">
      <c r="R7293"/>
      <c r="S7293"/>
    </row>
    <row r="7294" spans="18:19" x14ac:dyDescent="0.25">
      <c r="R7294"/>
      <c r="S7294"/>
    </row>
    <row r="7295" spans="18:19" x14ac:dyDescent="0.25">
      <c r="R7295"/>
      <c r="S7295"/>
    </row>
    <row r="7296" spans="18:19" x14ac:dyDescent="0.25">
      <c r="R7296"/>
      <c r="S7296"/>
    </row>
    <row r="7297" spans="18:19" x14ac:dyDescent="0.25">
      <c r="R7297"/>
      <c r="S7297"/>
    </row>
    <row r="7298" spans="18:19" x14ac:dyDescent="0.25">
      <c r="R7298"/>
      <c r="S7298"/>
    </row>
    <row r="7299" spans="18:19" x14ac:dyDescent="0.25">
      <c r="R7299"/>
      <c r="S7299"/>
    </row>
    <row r="7300" spans="18:19" x14ac:dyDescent="0.25">
      <c r="R7300"/>
      <c r="S7300"/>
    </row>
    <row r="7301" spans="18:19" x14ac:dyDescent="0.25">
      <c r="R7301"/>
      <c r="S7301"/>
    </row>
    <row r="7302" spans="18:19" x14ac:dyDescent="0.25">
      <c r="R7302"/>
      <c r="S7302"/>
    </row>
    <row r="7303" spans="18:19" x14ac:dyDescent="0.25">
      <c r="R7303"/>
      <c r="S7303"/>
    </row>
    <row r="7304" spans="18:19" x14ac:dyDescent="0.25">
      <c r="R7304"/>
      <c r="S7304"/>
    </row>
    <row r="7305" spans="18:19" x14ac:dyDescent="0.25">
      <c r="R7305"/>
      <c r="S7305"/>
    </row>
    <row r="7306" spans="18:19" x14ac:dyDescent="0.25">
      <c r="R7306"/>
      <c r="S7306"/>
    </row>
    <row r="7307" spans="18:19" x14ac:dyDescent="0.25">
      <c r="R7307"/>
      <c r="S7307"/>
    </row>
    <row r="7308" spans="18:19" x14ac:dyDescent="0.25">
      <c r="R7308"/>
      <c r="S7308"/>
    </row>
    <row r="7309" spans="18:19" x14ac:dyDescent="0.25">
      <c r="R7309"/>
      <c r="S7309"/>
    </row>
    <row r="7310" spans="18:19" x14ac:dyDescent="0.25">
      <c r="R7310"/>
      <c r="S7310"/>
    </row>
    <row r="7311" spans="18:19" x14ac:dyDescent="0.25">
      <c r="R7311"/>
      <c r="S7311"/>
    </row>
    <row r="7312" spans="18:19" x14ac:dyDescent="0.25">
      <c r="R7312"/>
      <c r="S7312"/>
    </row>
    <row r="7313" spans="18:19" x14ac:dyDescent="0.25">
      <c r="R7313"/>
      <c r="S7313"/>
    </row>
    <row r="7314" spans="18:19" x14ac:dyDescent="0.25">
      <c r="R7314"/>
      <c r="S7314"/>
    </row>
    <row r="7315" spans="18:19" x14ac:dyDescent="0.25">
      <c r="R7315"/>
      <c r="S7315"/>
    </row>
    <row r="7316" spans="18:19" x14ac:dyDescent="0.25">
      <c r="R7316"/>
      <c r="S7316"/>
    </row>
    <row r="7317" spans="18:19" x14ac:dyDescent="0.25">
      <c r="R7317"/>
      <c r="S7317"/>
    </row>
    <row r="7318" spans="18:19" x14ac:dyDescent="0.25">
      <c r="R7318"/>
      <c r="S7318"/>
    </row>
    <row r="7319" spans="18:19" x14ac:dyDescent="0.25">
      <c r="R7319"/>
      <c r="S7319"/>
    </row>
    <row r="7320" spans="18:19" x14ac:dyDescent="0.25">
      <c r="R7320"/>
      <c r="S7320"/>
    </row>
    <row r="7321" spans="18:19" x14ac:dyDescent="0.25">
      <c r="R7321"/>
      <c r="S7321"/>
    </row>
    <row r="7322" spans="18:19" x14ac:dyDescent="0.25">
      <c r="R7322"/>
      <c r="S7322"/>
    </row>
    <row r="7323" spans="18:19" x14ac:dyDescent="0.25">
      <c r="R7323"/>
      <c r="S7323"/>
    </row>
    <row r="7324" spans="18:19" x14ac:dyDescent="0.25">
      <c r="R7324"/>
      <c r="S7324"/>
    </row>
    <row r="7325" spans="18:19" x14ac:dyDescent="0.25">
      <c r="R7325"/>
      <c r="S7325"/>
    </row>
    <row r="7326" spans="18:19" x14ac:dyDescent="0.25">
      <c r="R7326"/>
      <c r="S7326"/>
    </row>
    <row r="7327" spans="18:19" x14ac:dyDescent="0.25">
      <c r="R7327"/>
      <c r="S7327"/>
    </row>
    <row r="7328" spans="18:19" x14ac:dyDescent="0.25">
      <c r="R7328"/>
      <c r="S7328"/>
    </row>
    <row r="7329" spans="18:19" x14ac:dyDescent="0.25">
      <c r="R7329"/>
      <c r="S7329"/>
    </row>
    <row r="7330" spans="18:19" x14ac:dyDescent="0.25">
      <c r="R7330"/>
      <c r="S7330"/>
    </row>
    <row r="7331" spans="18:19" x14ac:dyDescent="0.25">
      <c r="R7331"/>
      <c r="S7331"/>
    </row>
    <row r="7332" spans="18:19" x14ac:dyDescent="0.25">
      <c r="R7332"/>
      <c r="S7332"/>
    </row>
    <row r="7333" spans="18:19" x14ac:dyDescent="0.25">
      <c r="R7333"/>
      <c r="S7333"/>
    </row>
    <row r="7334" spans="18:19" x14ac:dyDescent="0.25">
      <c r="R7334"/>
      <c r="S7334"/>
    </row>
    <row r="7335" spans="18:19" x14ac:dyDescent="0.25">
      <c r="R7335"/>
      <c r="S7335"/>
    </row>
    <row r="7336" spans="18:19" x14ac:dyDescent="0.25">
      <c r="R7336"/>
      <c r="S7336"/>
    </row>
    <row r="7337" spans="18:19" x14ac:dyDescent="0.25">
      <c r="R7337"/>
      <c r="S7337"/>
    </row>
    <row r="7338" spans="18:19" x14ac:dyDescent="0.25">
      <c r="R7338"/>
      <c r="S7338"/>
    </row>
    <row r="7339" spans="18:19" x14ac:dyDescent="0.25">
      <c r="R7339"/>
      <c r="S7339"/>
    </row>
    <row r="7340" spans="18:19" x14ac:dyDescent="0.25">
      <c r="R7340"/>
      <c r="S7340"/>
    </row>
    <row r="7341" spans="18:19" x14ac:dyDescent="0.25">
      <c r="R7341"/>
      <c r="S7341"/>
    </row>
    <row r="7342" spans="18:19" x14ac:dyDescent="0.25">
      <c r="R7342"/>
      <c r="S7342"/>
    </row>
    <row r="7343" spans="18:19" x14ac:dyDescent="0.25">
      <c r="R7343"/>
      <c r="S7343"/>
    </row>
    <row r="7344" spans="18:19" x14ac:dyDescent="0.25">
      <c r="R7344"/>
      <c r="S7344"/>
    </row>
    <row r="7345" spans="18:19" x14ac:dyDescent="0.25">
      <c r="R7345"/>
      <c r="S7345"/>
    </row>
    <row r="7346" spans="18:19" x14ac:dyDescent="0.25">
      <c r="R7346"/>
      <c r="S7346"/>
    </row>
    <row r="7347" spans="18:19" x14ac:dyDescent="0.25">
      <c r="R7347"/>
      <c r="S7347"/>
    </row>
    <row r="7348" spans="18:19" x14ac:dyDescent="0.25">
      <c r="R7348"/>
      <c r="S7348"/>
    </row>
    <row r="7349" spans="18:19" x14ac:dyDescent="0.25">
      <c r="R7349"/>
      <c r="S7349"/>
    </row>
    <row r="7350" spans="18:19" x14ac:dyDescent="0.25">
      <c r="R7350"/>
      <c r="S7350"/>
    </row>
    <row r="7351" spans="18:19" x14ac:dyDescent="0.25">
      <c r="R7351"/>
      <c r="S7351"/>
    </row>
    <row r="7352" spans="18:19" x14ac:dyDescent="0.25">
      <c r="R7352"/>
      <c r="S7352"/>
    </row>
    <row r="7353" spans="18:19" x14ac:dyDescent="0.25">
      <c r="R7353"/>
      <c r="S7353"/>
    </row>
    <row r="7354" spans="18:19" x14ac:dyDescent="0.25">
      <c r="R7354"/>
      <c r="S7354"/>
    </row>
    <row r="7355" spans="18:19" x14ac:dyDescent="0.25">
      <c r="R7355"/>
      <c r="S7355"/>
    </row>
    <row r="7356" spans="18:19" x14ac:dyDescent="0.25">
      <c r="R7356"/>
      <c r="S7356"/>
    </row>
    <row r="7357" spans="18:19" x14ac:dyDescent="0.25">
      <c r="R7357"/>
      <c r="S7357"/>
    </row>
    <row r="7358" spans="18:19" x14ac:dyDescent="0.25">
      <c r="R7358"/>
      <c r="S7358"/>
    </row>
    <row r="7359" spans="18:19" x14ac:dyDescent="0.25">
      <c r="R7359"/>
      <c r="S7359"/>
    </row>
    <row r="7360" spans="18:19" x14ac:dyDescent="0.25">
      <c r="R7360"/>
      <c r="S7360"/>
    </row>
    <row r="7361" spans="18:19" x14ac:dyDescent="0.25">
      <c r="R7361"/>
      <c r="S7361"/>
    </row>
    <row r="7362" spans="18:19" x14ac:dyDescent="0.25">
      <c r="R7362"/>
      <c r="S7362"/>
    </row>
    <row r="7363" spans="18:19" x14ac:dyDescent="0.25">
      <c r="R7363"/>
      <c r="S7363"/>
    </row>
    <row r="7364" spans="18:19" x14ac:dyDescent="0.25">
      <c r="R7364"/>
      <c r="S7364"/>
    </row>
    <row r="7365" spans="18:19" x14ac:dyDescent="0.25">
      <c r="R7365"/>
      <c r="S7365"/>
    </row>
    <row r="7366" spans="18:19" x14ac:dyDescent="0.25">
      <c r="R7366"/>
      <c r="S7366"/>
    </row>
    <row r="7367" spans="18:19" x14ac:dyDescent="0.25">
      <c r="R7367"/>
      <c r="S7367"/>
    </row>
    <row r="7368" spans="18:19" x14ac:dyDescent="0.25">
      <c r="R7368"/>
      <c r="S7368"/>
    </row>
    <row r="7369" spans="18:19" x14ac:dyDescent="0.25">
      <c r="R7369"/>
      <c r="S7369"/>
    </row>
    <row r="7370" spans="18:19" x14ac:dyDescent="0.25">
      <c r="R7370"/>
      <c r="S7370"/>
    </row>
    <row r="7371" spans="18:19" x14ac:dyDescent="0.25">
      <c r="R7371"/>
      <c r="S7371"/>
    </row>
    <row r="7372" spans="18:19" x14ac:dyDescent="0.25">
      <c r="R7372"/>
      <c r="S7372"/>
    </row>
    <row r="7373" spans="18:19" x14ac:dyDescent="0.25">
      <c r="R7373"/>
      <c r="S7373"/>
    </row>
    <row r="7374" spans="18:19" x14ac:dyDescent="0.25">
      <c r="R7374"/>
      <c r="S7374"/>
    </row>
    <row r="7375" spans="18:19" x14ac:dyDescent="0.25">
      <c r="R7375"/>
      <c r="S7375"/>
    </row>
    <row r="7376" spans="18:19" x14ac:dyDescent="0.25">
      <c r="R7376"/>
      <c r="S7376"/>
    </row>
    <row r="7377" spans="18:19" x14ac:dyDescent="0.25">
      <c r="R7377"/>
      <c r="S7377"/>
    </row>
    <row r="7378" spans="18:19" x14ac:dyDescent="0.25">
      <c r="R7378"/>
      <c r="S7378"/>
    </row>
    <row r="7379" spans="18:19" x14ac:dyDescent="0.25">
      <c r="R7379"/>
      <c r="S7379"/>
    </row>
    <row r="7380" spans="18:19" x14ac:dyDescent="0.25">
      <c r="R7380"/>
      <c r="S7380"/>
    </row>
    <row r="7381" spans="18:19" x14ac:dyDescent="0.25">
      <c r="R7381"/>
      <c r="S7381"/>
    </row>
    <row r="7382" spans="18:19" x14ac:dyDescent="0.25">
      <c r="R7382"/>
      <c r="S7382"/>
    </row>
    <row r="7383" spans="18:19" x14ac:dyDescent="0.25">
      <c r="R7383"/>
      <c r="S7383"/>
    </row>
    <row r="7384" spans="18:19" x14ac:dyDescent="0.25">
      <c r="R7384"/>
      <c r="S7384"/>
    </row>
    <row r="7385" spans="18:19" x14ac:dyDescent="0.25">
      <c r="R7385"/>
      <c r="S7385"/>
    </row>
    <row r="7386" spans="18:19" x14ac:dyDescent="0.25">
      <c r="R7386"/>
      <c r="S7386"/>
    </row>
    <row r="7387" spans="18:19" x14ac:dyDescent="0.25">
      <c r="R7387"/>
      <c r="S7387"/>
    </row>
    <row r="7388" spans="18:19" x14ac:dyDescent="0.25">
      <c r="R7388"/>
      <c r="S7388"/>
    </row>
    <row r="7389" spans="18:19" x14ac:dyDescent="0.25">
      <c r="R7389"/>
      <c r="S7389"/>
    </row>
    <row r="7390" spans="18:19" x14ac:dyDescent="0.25">
      <c r="R7390"/>
      <c r="S7390"/>
    </row>
    <row r="7391" spans="18:19" x14ac:dyDescent="0.25">
      <c r="R7391"/>
      <c r="S7391"/>
    </row>
    <row r="7392" spans="18:19" x14ac:dyDescent="0.25">
      <c r="R7392"/>
      <c r="S7392"/>
    </row>
    <row r="7393" spans="18:19" x14ac:dyDescent="0.25">
      <c r="R7393"/>
      <c r="S7393"/>
    </row>
    <row r="7394" spans="18:19" x14ac:dyDescent="0.25">
      <c r="R7394"/>
      <c r="S7394"/>
    </row>
    <row r="7395" spans="18:19" x14ac:dyDescent="0.25">
      <c r="R7395"/>
      <c r="S7395"/>
    </row>
    <row r="7396" spans="18:19" x14ac:dyDescent="0.25">
      <c r="R7396"/>
      <c r="S7396"/>
    </row>
    <row r="7397" spans="18:19" x14ac:dyDescent="0.25">
      <c r="R7397"/>
      <c r="S7397"/>
    </row>
    <row r="7398" spans="18:19" x14ac:dyDescent="0.25">
      <c r="R7398"/>
      <c r="S7398"/>
    </row>
    <row r="7399" spans="18:19" x14ac:dyDescent="0.25">
      <c r="R7399"/>
      <c r="S7399"/>
    </row>
    <row r="7400" spans="18:19" x14ac:dyDescent="0.25">
      <c r="R7400"/>
      <c r="S7400"/>
    </row>
    <row r="7401" spans="18:19" x14ac:dyDescent="0.25">
      <c r="R7401"/>
      <c r="S7401"/>
    </row>
    <row r="7402" spans="18:19" x14ac:dyDescent="0.25">
      <c r="R7402"/>
      <c r="S7402"/>
    </row>
    <row r="7403" spans="18:19" x14ac:dyDescent="0.25">
      <c r="R7403"/>
      <c r="S7403"/>
    </row>
    <row r="7404" spans="18:19" x14ac:dyDescent="0.25">
      <c r="R7404"/>
      <c r="S7404"/>
    </row>
    <row r="7405" spans="18:19" x14ac:dyDescent="0.25">
      <c r="R7405"/>
      <c r="S7405"/>
    </row>
    <row r="7406" spans="18:19" x14ac:dyDescent="0.25">
      <c r="R7406"/>
      <c r="S7406"/>
    </row>
    <row r="7407" spans="18:19" x14ac:dyDescent="0.25">
      <c r="R7407"/>
      <c r="S7407"/>
    </row>
    <row r="7408" spans="18:19" x14ac:dyDescent="0.25">
      <c r="R7408"/>
      <c r="S7408"/>
    </row>
    <row r="7409" spans="18:19" x14ac:dyDescent="0.25">
      <c r="R7409"/>
      <c r="S7409"/>
    </row>
    <row r="7410" spans="18:19" x14ac:dyDescent="0.25">
      <c r="R7410"/>
      <c r="S7410"/>
    </row>
    <row r="7411" spans="18:19" x14ac:dyDescent="0.25">
      <c r="R7411"/>
      <c r="S7411"/>
    </row>
    <row r="7412" spans="18:19" x14ac:dyDescent="0.25">
      <c r="R7412"/>
      <c r="S7412"/>
    </row>
    <row r="7413" spans="18:19" x14ac:dyDescent="0.25">
      <c r="R7413"/>
      <c r="S7413"/>
    </row>
    <row r="7414" spans="18:19" x14ac:dyDescent="0.25">
      <c r="R7414"/>
      <c r="S7414"/>
    </row>
    <row r="7415" spans="18:19" x14ac:dyDescent="0.25">
      <c r="R7415"/>
      <c r="S7415"/>
    </row>
    <row r="7416" spans="18:19" x14ac:dyDescent="0.25">
      <c r="R7416"/>
      <c r="S7416"/>
    </row>
    <row r="7417" spans="18:19" x14ac:dyDescent="0.25">
      <c r="R7417"/>
      <c r="S7417"/>
    </row>
    <row r="7418" spans="18:19" x14ac:dyDescent="0.25">
      <c r="R7418"/>
      <c r="S7418"/>
    </row>
    <row r="7419" spans="18:19" x14ac:dyDescent="0.25">
      <c r="R7419"/>
      <c r="S7419"/>
    </row>
    <row r="7420" spans="18:19" x14ac:dyDescent="0.25">
      <c r="R7420"/>
      <c r="S7420"/>
    </row>
    <row r="7421" spans="18:19" x14ac:dyDescent="0.25">
      <c r="R7421"/>
      <c r="S7421"/>
    </row>
    <row r="7422" spans="18:19" x14ac:dyDescent="0.25">
      <c r="R7422"/>
      <c r="S7422"/>
    </row>
    <row r="7423" spans="18:19" x14ac:dyDescent="0.25">
      <c r="R7423"/>
      <c r="S7423"/>
    </row>
    <row r="7424" spans="18:19" x14ac:dyDescent="0.25">
      <c r="R7424"/>
      <c r="S7424"/>
    </row>
    <row r="7425" spans="18:19" x14ac:dyDescent="0.25">
      <c r="R7425"/>
      <c r="S7425"/>
    </row>
    <row r="7426" spans="18:19" x14ac:dyDescent="0.25">
      <c r="R7426"/>
      <c r="S7426"/>
    </row>
    <row r="7427" spans="18:19" x14ac:dyDescent="0.25">
      <c r="R7427"/>
      <c r="S7427"/>
    </row>
    <row r="7428" spans="18:19" x14ac:dyDescent="0.25">
      <c r="R7428"/>
      <c r="S7428"/>
    </row>
    <row r="7429" spans="18:19" x14ac:dyDescent="0.25">
      <c r="R7429"/>
      <c r="S7429"/>
    </row>
    <row r="7430" spans="18:19" x14ac:dyDescent="0.25">
      <c r="R7430"/>
      <c r="S7430"/>
    </row>
    <row r="7431" spans="18:19" x14ac:dyDescent="0.25">
      <c r="R7431"/>
      <c r="S7431"/>
    </row>
    <row r="7432" spans="18:19" x14ac:dyDescent="0.25">
      <c r="R7432"/>
      <c r="S7432"/>
    </row>
    <row r="7433" spans="18:19" x14ac:dyDescent="0.25">
      <c r="R7433"/>
      <c r="S7433"/>
    </row>
    <row r="7434" spans="18:19" x14ac:dyDescent="0.25">
      <c r="R7434"/>
      <c r="S7434"/>
    </row>
    <row r="7435" spans="18:19" x14ac:dyDescent="0.25">
      <c r="R7435"/>
      <c r="S7435"/>
    </row>
    <row r="7436" spans="18:19" x14ac:dyDescent="0.25">
      <c r="R7436"/>
      <c r="S7436"/>
    </row>
    <row r="7437" spans="18:19" x14ac:dyDescent="0.25">
      <c r="R7437"/>
      <c r="S7437"/>
    </row>
    <row r="7438" spans="18:19" x14ac:dyDescent="0.25">
      <c r="R7438"/>
      <c r="S7438"/>
    </row>
    <row r="7439" spans="18:19" x14ac:dyDescent="0.25">
      <c r="R7439"/>
      <c r="S7439"/>
    </row>
    <row r="7440" spans="18:19" x14ac:dyDescent="0.25">
      <c r="R7440"/>
      <c r="S7440"/>
    </row>
    <row r="7441" spans="18:19" x14ac:dyDescent="0.25">
      <c r="R7441"/>
      <c r="S7441"/>
    </row>
    <row r="7442" spans="18:19" x14ac:dyDescent="0.25">
      <c r="R7442"/>
      <c r="S7442"/>
    </row>
    <row r="7443" spans="18:19" x14ac:dyDescent="0.25">
      <c r="R7443"/>
      <c r="S7443"/>
    </row>
    <row r="7444" spans="18:19" x14ac:dyDescent="0.25">
      <c r="R7444"/>
      <c r="S7444"/>
    </row>
    <row r="7445" spans="18:19" x14ac:dyDescent="0.25">
      <c r="R7445"/>
      <c r="S7445"/>
    </row>
    <row r="7446" spans="18:19" x14ac:dyDescent="0.25">
      <c r="R7446"/>
      <c r="S7446"/>
    </row>
    <row r="7447" spans="18:19" x14ac:dyDescent="0.25">
      <c r="R7447"/>
      <c r="S7447"/>
    </row>
    <row r="7448" spans="18:19" x14ac:dyDescent="0.25">
      <c r="R7448"/>
      <c r="S7448"/>
    </row>
    <row r="7449" spans="18:19" x14ac:dyDescent="0.25">
      <c r="R7449"/>
      <c r="S7449"/>
    </row>
    <row r="7450" spans="18:19" x14ac:dyDescent="0.25">
      <c r="R7450"/>
      <c r="S7450"/>
    </row>
    <row r="7451" spans="18:19" x14ac:dyDescent="0.25">
      <c r="R7451"/>
      <c r="S7451"/>
    </row>
    <row r="7452" spans="18:19" x14ac:dyDescent="0.25">
      <c r="R7452"/>
      <c r="S7452"/>
    </row>
    <row r="7453" spans="18:19" x14ac:dyDescent="0.25">
      <c r="R7453"/>
      <c r="S7453"/>
    </row>
    <row r="7454" spans="18:19" x14ac:dyDescent="0.25">
      <c r="R7454"/>
      <c r="S7454"/>
    </row>
    <row r="7455" spans="18:19" x14ac:dyDescent="0.25">
      <c r="R7455"/>
      <c r="S7455"/>
    </row>
    <row r="7456" spans="18:19" x14ac:dyDescent="0.25">
      <c r="R7456"/>
      <c r="S7456"/>
    </row>
    <row r="7457" spans="18:19" x14ac:dyDescent="0.25">
      <c r="R7457"/>
      <c r="S7457"/>
    </row>
    <row r="7458" spans="18:19" x14ac:dyDescent="0.25">
      <c r="R7458"/>
      <c r="S7458"/>
    </row>
    <row r="7459" spans="18:19" x14ac:dyDescent="0.25">
      <c r="R7459"/>
      <c r="S7459"/>
    </row>
    <row r="7460" spans="18:19" x14ac:dyDescent="0.25">
      <c r="R7460"/>
      <c r="S7460"/>
    </row>
    <row r="7461" spans="18:19" x14ac:dyDescent="0.25">
      <c r="R7461"/>
      <c r="S7461"/>
    </row>
    <row r="7462" spans="18:19" x14ac:dyDescent="0.25">
      <c r="R7462"/>
      <c r="S7462"/>
    </row>
    <row r="7463" spans="18:19" x14ac:dyDescent="0.25">
      <c r="R7463"/>
      <c r="S7463"/>
    </row>
    <row r="7464" spans="18:19" x14ac:dyDescent="0.25">
      <c r="R7464"/>
      <c r="S7464"/>
    </row>
    <row r="7465" spans="18:19" x14ac:dyDescent="0.25">
      <c r="R7465"/>
      <c r="S7465"/>
    </row>
    <row r="7466" spans="18:19" x14ac:dyDescent="0.25">
      <c r="R7466"/>
      <c r="S7466"/>
    </row>
    <row r="7467" spans="18:19" x14ac:dyDescent="0.25">
      <c r="R7467"/>
      <c r="S7467"/>
    </row>
    <row r="7468" spans="18:19" x14ac:dyDescent="0.25">
      <c r="R7468"/>
      <c r="S7468"/>
    </row>
    <row r="7469" spans="18:19" x14ac:dyDescent="0.25">
      <c r="R7469"/>
      <c r="S7469"/>
    </row>
    <row r="7470" spans="18:19" x14ac:dyDescent="0.25">
      <c r="R7470"/>
      <c r="S7470"/>
    </row>
    <row r="7471" spans="18:19" x14ac:dyDescent="0.25">
      <c r="R7471"/>
      <c r="S7471"/>
    </row>
    <row r="7472" spans="18:19" x14ac:dyDescent="0.25">
      <c r="R7472"/>
      <c r="S7472"/>
    </row>
    <row r="7473" spans="18:19" x14ac:dyDescent="0.25">
      <c r="R7473"/>
      <c r="S7473"/>
    </row>
    <row r="7474" spans="18:19" x14ac:dyDescent="0.25">
      <c r="R7474"/>
      <c r="S7474"/>
    </row>
    <row r="7475" spans="18:19" x14ac:dyDescent="0.25">
      <c r="R7475"/>
      <c r="S7475"/>
    </row>
    <row r="7476" spans="18:19" x14ac:dyDescent="0.25">
      <c r="R7476"/>
      <c r="S7476"/>
    </row>
    <row r="7477" spans="18:19" x14ac:dyDescent="0.25">
      <c r="R7477"/>
      <c r="S7477"/>
    </row>
    <row r="7478" spans="18:19" x14ac:dyDescent="0.25">
      <c r="R7478"/>
      <c r="S7478"/>
    </row>
    <row r="7479" spans="18:19" x14ac:dyDescent="0.25">
      <c r="R7479"/>
      <c r="S7479"/>
    </row>
    <row r="7480" spans="18:19" x14ac:dyDescent="0.25">
      <c r="R7480"/>
      <c r="S7480"/>
    </row>
    <row r="7481" spans="18:19" x14ac:dyDescent="0.25">
      <c r="R7481"/>
      <c r="S7481"/>
    </row>
    <row r="7482" spans="18:19" x14ac:dyDescent="0.25">
      <c r="R7482"/>
      <c r="S7482"/>
    </row>
    <row r="7483" spans="18:19" x14ac:dyDescent="0.25">
      <c r="R7483"/>
      <c r="S7483"/>
    </row>
    <row r="7484" spans="18:19" x14ac:dyDescent="0.25">
      <c r="R7484"/>
      <c r="S7484"/>
    </row>
    <row r="7485" spans="18:19" x14ac:dyDescent="0.25">
      <c r="R7485"/>
      <c r="S7485"/>
    </row>
    <row r="7486" spans="18:19" x14ac:dyDescent="0.25">
      <c r="R7486"/>
      <c r="S7486"/>
    </row>
    <row r="7487" spans="18:19" x14ac:dyDescent="0.25">
      <c r="R7487"/>
      <c r="S7487"/>
    </row>
    <row r="7488" spans="18:19" x14ac:dyDescent="0.25">
      <c r="R7488"/>
      <c r="S7488"/>
    </row>
    <row r="7489" spans="18:19" x14ac:dyDescent="0.25">
      <c r="R7489"/>
      <c r="S7489"/>
    </row>
    <row r="7490" spans="18:19" x14ac:dyDescent="0.25">
      <c r="R7490"/>
      <c r="S7490"/>
    </row>
    <row r="7491" spans="18:19" x14ac:dyDescent="0.25">
      <c r="R7491"/>
      <c r="S7491"/>
    </row>
    <row r="7492" spans="18:19" x14ac:dyDescent="0.25">
      <c r="R7492"/>
      <c r="S7492"/>
    </row>
    <row r="7493" spans="18:19" x14ac:dyDescent="0.25">
      <c r="R7493"/>
      <c r="S7493"/>
    </row>
    <row r="7494" spans="18:19" x14ac:dyDescent="0.25">
      <c r="R7494"/>
      <c r="S7494"/>
    </row>
    <row r="7495" spans="18:19" x14ac:dyDescent="0.25">
      <c r="R7495"/>
      <c r="S7495"/>
    </row>
    <row r="7496" spans="18:19" x14ac:dyDescent="0.25">
      <c r="R7496"/>
      <c r="S7496"/>
    </row>
    <row r="7497" spans="18:19" x14ac:dyDescent="0.25">
      <c r="R7497"/>
      <c r="S7497"/>
    </row>
    <row r="7498" spans="18:19" x14ac:dyDescent="0.25">
      <c r="R7498"/>
      <c r="S7498"/>
    </row>
    <row r="7499" spans="18:19" x14ac:dyDescent="0.25">
      <c r="R7499"/>
      <c r="S7499"/>
    </row>
    <row r="7500" spans="18:19" x14ac:dyDescent="0.25">
      <c r="R7500"/>
      <c r="S7500"/>
    </row>
    <row r="7501" spans="18:19" x14ac:dyDescent="0.25">
      <c r="R7501"/>
      <c r="S7501"/>
    </row>
    <row r="7502" spans="18:19" x14ac:dyDescent="0.25">
      <c r="R7502"/>
      <c r="S7502"/>
    </row>
    <row r="7503" spans="18:19" x14ac:dyDescent="0.25">
      <c r="R7503"/>
      <c r="S7503"/>
    </row>
    <row r="7504" spans="18:19" x14ac:dyDescent="0.25">
      <c r="R7504"/>
      <c r="S7504"/>
    </row>
    <row r="7505" spans="18:19" x14ac:dyDescent="0.25">
      <c r="R7505"/>
      <c r="S7505"/>
    </row>
    <row r="7506" spans="18:19" x14ac:dyDescent="0.25">
      <c r="R7506"/>
      <c r="S7506"/>
    </row>
    <row r="7507" spans="18:19" x14ac:dyDescent="0.25">
      <c r="R7507"/>
      <c r="S7507"/>
    </row>
    <row r="7508" spans="18:19" x14ac:dyDescent="0.25">
      <c r="R7508"/>
      <c r="S7508"/>
    </row>
    <row r="7509" spans="18:19" x14ac:dyDescent="0.25">
      <c r="R7509"/>
      <c r="S7509"/>
    </row>
    <row r="7510" spans="18:19" x14ac:dyDescent="0.25">
      <c r="R7510"/>
      <c r="S7510"/>
    </row>
    <row r="7511" spans="18:19" x14ac:dyDescent="0.25">
      <c r="R7511"/>
      <c r="S7511"/>
    </row>
    <row r="7512" spans="18:19" x14ac:dyDescent="0.25">
      <c r="R7512"/>
      <c r="S7512"/>
    </row>
    <row r="7513" spans="18:19" x14ac:dyDescent="0.25">
      <c r="R7513"/>
      <c r="S7513"/>
    </row>
    <row r="7514" spans="18:19" x14ac:dyDescent="0.25">
      <c r="R7514"/>
      <c r="S7514"/>
    </row>
    <row r="7515" spans="18:19" x14ac:dyDescent="0.25">
      <c r="R7515"/>
      <c r="S7515"/>
    </row>
    <row r="7516" spans="18:19" x14ac:dyDescent="0.25">
      <c r="R7516"/>
      <c r="S7516"/>
    </row>
    <row r="7517" spans="18:19" x14ac:dyDescent="0.25">
      <c r="R7517"/>
      <c r="S7517"/>
    </row>
    <row r="7518" spans="18:19" x14ac:dyDescent="0.25">
      <c r="R7518"/>
      <c r="S7518"/>
    </row>
    <row r="7519" spans="18:19" x14ac:dyDescent="0.25">
      <c r="R7519"/>
      <c r="S7519"/>
    </row>
    <row r="7520" spans="18:19" x14ac:dyDescent="0.25">
      <c r="R7520"/>
      <c r="S7520"/>
    </row>
    <row r="7521" spans="18:19" x14ac:dyDescent="0.25">
      <c r="R7521"/>
      <c r="S7521"/>
    </row>
    <row r="7522" spans="18:19" x14ac:dyDescent="0.25">
      <c r="R7522"/>
      <c r="S7522"/>
    </row>
    <row r="7523" spans="18:19" x14ac:dyDescent="0.25">
      <c r="R7523"/>
      <c r="S7523"/>
    </row>
    <row r="7524" spans="18:19" x14ac:dyDescent="0.25">
      <c r="R7524"/>
      <c r="S7524"/>
    </row>
    <row r="7525" spans="18:19" x14ac:dyDescent="0.25">
      <c r="R7525"/>
      <c r="S7525"/>
    </row>
    <row r="7526" spans="18:19" x14ac:dyDescent="0.25">
      <c r="R7526"/>
      <c r="S7526"/>
    </row>
    <row r="7527" spans="18:19" x14ac:dyDescent="0.25">
      <c r="R7527"/>
      <c r="S7527"/>
    </row>
    <row r="7528" spans="18:19" x14ac:dyDescent="0.25">
      <c r="R7528"/>
      <c r="S7528"/>
    </row>
    <row r="7529" spans="18:19" x14ac:dyDescent="0.25">
      <c r="R7529"/>
      <c r="S7529"/>
    </row>
    <row r="7530" spans="18:19" x14ac:dyDescent="0.25">
      <c r="R7530"/>
      <c r="S7530"/>
    </row>
    <row r="7531" spans="18:19" x14ac:dyDescent="0.25">
      <c r="R7531"/>
      <c r="S7531"/>
    </row>
    <row r="7532" spans="18:19" x14ac:dyDescent="0.25">
      <c r="R7532"/>
      <c r="S7532"/>
    </row>
    <row r="7533" spans="18:19" x14ac:dyDescent="0.25">
      <c r="R7533"/>
      <c r="S7533"/>
    </row>
    <row r="7534" spans="18:19" x14ac:dyDescent="0.25">
      <c r="R7534"/>
      <c r="S7534"/>
    </row>
    <row r="7535" spans="18:19" x14ac:dyDescent="0.25">
      <c r="R7535"/>
      <c r="S7535"/>
    </row>
    <row r="7536" spans="18:19" x14ac:dyDescent="0.25">
      <c r="R7536"/>
      <c r="S7536"/>
    </row>
    <row r="7537" spans="18:19" x14ac:dyDescent="0.25">
      <c r="R7537"/>
      <c r="S7537"/>
    </row>
    <row r="7538" spans="18:19" x14ac:dyDescent="0.25">
      <c r="R7538"/>
      <c r="S7538"/>
    </row>
    <row r="7539" spans="18:19" x14ac:dyDescent="0.25">
      <c r="R7539"/>
      <c r="S7539"/>
    </row>
    <row r="7540" spans="18:19" x14ac:dyDescent="0.25">
      <c r="R7540"/>
      <c r="S7540"/>
    </row>
    <row r="7541" spans="18:19" x14ac:dyDescent="0.25">
      <c r="R7541"/>
      <c r="S7541"/>
    </row>
    <row r="7542" spans="18:19" x14ac:dyDescent="0.25">
      <c r="R7542"/>
      <c r="S7542"/>
    </row>
    <row r="7543" spans="18:19" x14ac:dyDescent="0.25">
      <c r="R7543"/>
      <c r="S7543"/>
    </row>
    <row r="7544" spans="18:19" x14ac:dyDescent="0.25">
      <c r="R7544"/>
      <c r="S7544"/>
    </row>
    <row r="7545" spans="18:19" x14ac:dyDescent="0.25">
      <c r="R7545"/>
      <c r="S7545"/>
    </row>
    <row r="7546" spans="18:19" x14ac:dyDescent="0.25">
      <c r="R7546"/>
      <c r="S7546"/>
    </row>
    <row r="7547" spans="18:19" x14ac:dyDescent="0.25">
      <c r="R7547"/>
      <c r="S7547"/>
    </row>
    <row r="7548" spans="18:19" x14ac:dyDescent="0.25">
      <c r="R7548"/>
      <c r="S7548"/>
    </row>
    <row r="7549" spans="18:19" x14ac:dyDescent="0.25">
      <c r="R7549"/>
      <c r="S7549"/>
    </row>
    <row r="7550" spans="18:19" x14ac:dyDescent="0.25">
      <c r="R7550"/>
      <c r="S7550"/>
    </row>
    <row r="7551" spans="18:19" x14ac:dyDescent="0.25">
      <c r="R7551"/>
      <c r="S7551"/>
    </row>
    <row r="7552" spans="18:19" x14ac:dyDescent="0.25">
      <c r="R7552"/>
      <c r="S7552"/>
    </row>
    <row r="7553" spans="18:19" x14ac:dyDescent="0.25">
      <c r="R7553"/>
      <c r="S7553"/>
    </row>
    <row r="7554" spans="18:19" x14ac:dyDescent="0.25">
      <c r="R7554"/>
      <c r="S7554"/>
    </row>
    <row r="7555" spans="18:19" x14ac:dyDescent="0.25">
      <c r="R7555"/>
      <c r="S7555"/>
    </row>
    <row r="7556" spans="18:19" x14ac:dyDescent="0.25">
      <c r="R7556"/>
      <c r="S7556"/>
    </row>
    <row r="7557" spans="18:19" x14ac:dyDescent="0.25">
      <c r="R7557"/>
      <c r="S7557"/>
    </row>
    <row r="7558" spans="18:19" x14ac:dyDescent="0.25">
      <c r="R7558"/>
      <c r="S7558"/>
    </row>
    <row r="7559" spans="18:19" x14ac:dyDescent="0.25">
      <c r="R7559"/>
      <c r="S7559"/>
    </row>
    <row r="7560" spans="18:19" x14ac:dyDescent="0.25">
      <c r="R7560"/>
      <c r="S7560"/>
    </row>
    <row r="7561" spans="18:19" x14ac:dyDescent="0.25">
      <c r="R7561"/>
      <c r="S7561"/>
    </row>
    <row r="7562" spans="18:19" x14ac:dyDescent="0.25">
      <c r="R7562"/>
      <c r="S7562"/>
    </row>
    <row r="7563" spans="18:19" x14ac:dyDescent="0.25">
      <c r="R7563"/>
      <c r="S7563"/>
    </row>
    <row r="7564" spans="18:19" x14ac:dyDescent="0.25">
      <c r="R7564"/>
      <c r="S7564"/>
    </row>
    <row r="7565" spans="18:19" x14ac:dyDescent="0.25">
      <c r="R7565"/>
      <c r="S7565"/>
    </row>
    <row r="7566" spans="18:19" x14ac:dyDescent="0.25">
      <c r="R7566"/>
      <c r="S7566"/>
    </row>
    <row r="7567" spans="18:19" x14ac:dyDescent="0.25">
      <c r="R7567"/>
      <c r="S7567"/>
    </row>
    <row r="7568" spans="18:19" x14ac:dyDescent="0.25">
      <c r="R7568"/>
      <c r="S7568"/>
    </row>
    <row r="7569" spans="18:19" x14ac:dyDescent="0.25">
      <c r="R7569"/>
      <c r="S7569"/>
    </row>
    <row r="7570" spans="18:19" x14ac:dyDescent="0.25">
      <c r="R7570"/>
      <c r="S7570"/>
    </row>
    <row r="7571" spans="18:19" x14ac:dyDescent="0.25">
      <c r="R7571"/>
      <c r="S7571"/>
    </row>
    <row r="7572" spans="18:19" x14ac:dyDescent="0.25">
      <c r="R7572"/>
      <c r="S7572"/>
    </row>
    <row r="7573" spans="18:19" x14ac:dyDescent="0.25">
      <c r="R7573"/>
      <c r="S7573"/>
    </row>
    <row r="7574" spans="18:19" x14ac:dyDescent="0.25">
      <c r="R7574"/>
      <c r="S7574"/>
    </row>
    <row r="7575" spans="18:19" x14ac:dyDescent="0.25">
      <c r="R7575"/>
      <c r="S7575"/>
    </row>
    <row r="7576" spans="18:19" x14ac:dyDescent="0.25">
      <c r="R7576"/>
      <c r="S7576"/>
    </row>
    <row r="7577" spans="18:19" x14ac:dyDescent="0.25">
      <c r="R7577"/>
      <c r="S7577"/>
    </row>
    <row r="7578" spans="18:19" x14ac:dyDescent="0.25">
      <c r="R7578"/>
      <c r="S7578"/>
    </row>
    <row r="7579" spans="18:19" x14ac:dyDescent="0.25">
      <c r="R7579"/>
      <c r="S7579"/>
    </row>
    <row r="7580" spans="18:19" x14ac:dyDescent="0.25">
      <c r="R7580"/>
      <c r="S7580"/>
    </row>
    <row r="7581" spans="18:19" x14ac:dyDescent="0.25">
      <c r="R7581"/>
      <c r="S7581"/>
    </row>
    <row r="7582" spans="18:19" x14ac:dyDescent="0.25">
      <c r="R7582"/>
      <c r="S7582"/>
    </row>
    <row r="7583" spans="18:19" x14ac:dyDescent="0.25">
      <c r="R7583"/>
      <c r="S7583"/>
    </row>
    <row r="7584" spans="18:19" x14ac:dyDescent="0.25">
      <c r="R7584"/>
      <c r="S7584"/>
    </row>
    <row r="7585" spans="18:19" x14ac:dyDescent="0.25">
      <c r="R7585"/>
      <c r="S7585"/>
    </row>
    <row r="7586" spans="18:19" x14ac:dyDescent="0.25">
      <c r="R7586"/>
      <c r="S7586"/>
    </row>
    <row r="7587" spans="18:19" x14ac:dyDescent="0.25">
      <c r="R7587"/>
      <c r="S7587"/>
    </row>
    <row r="7588" spans="18:19" x14ac:dyDescent="0.25">
      <c r="R7588"/>
      <c r="S7588"/>
    </row>
    <row r="7589" spans="18:19" x14ac:dyDescent="0.25">
      <c r="R7589"/>
      <c r="S7589"/>
    </row>
    <row r="7590" spans="18:19" x14ac:dyDescent="0.25">
      <c r="R7590"/>
      <c r="S7590"/>
    </row>
    <row r="7591" spans="18:19" x14ac:dyDescent="0.25">
      <c r="R7591"/>
      <c r="S7591"/>
    </row>
    <row r="7592" spans="18:19" x14ac:dyDescent="0.25">
      <c r="R7592"/>
      <c r="S7592"/>
    </row>
    <row r="7593" spans="18:19" x14ac:dyDescent="0.25">
      <c r="R7593"/>
      <c r="S7593"/>
    </row>
    <row r="7594" spans="18:19" x14ac:dyDescent="0.25">
      <c r="R7594"/>
      <c r="S7594"/>
    </row>
    <row r="7595" spans="18:19" x14ac:dyDescent="0.25">
      <c r="R7595"/>
      <c r="S7595"/>
    </row>
    <row r="7596" spans="18:19" x14ac:dyDescent="0.25">
      <c r="R7596"/>
      <c r="S7596"/>
    </row>
    <row r="7597" spans="18:19" x14ac:dyDescent="0.25">
      <c r="R7597"/>
      <c r="S7597"/>
    </row>
    <row r="7598" spans="18:19" x14ac:dyDescent="0.25">
      <c r="R7598"/>
      <c r="S7598"/>
    </row>
    <row r="7599" spans="18:19" x14ac:dyDescent="0.25">
      <c r="R7599"/>
      <c r="S7599"/>
    </row>
    <row r="7600" spans="18:19" x14ac:dyDescent="0.25">
      <c r="R7600"/>
      <c r="S7600"/>
    </row>
    <row r="7601" spans="18:19" x14ac:dyDescent="0.25">
      <c r="R7601"/>
      <c r="S7601"/>
    </row>
    <row r="7602" spans="18:19" x14ac:dyDescent="0.25">
      <c r="R7602"/>
      <c r="S7602"/>
    </row>
    <row r="7603" spans="18:19" x14ac:dyDescent="0.25">
      <c r="R7603"/>
      <c r="S7603"/>
    </row>
    <row r="7604" spans="18:19" x14ac:dyDescent="0.25">
      <c r="R7604"/>
      <c r="S7604"/>
    </row>
    <row r="7605" spans="18:19" x14ac:dyDescent="0.25">
      <c r="R7605"/>
      <c r="S7605"/>
    </row>
    <row r="7606" spans="18:19" x14ac:dyDescent="0.25">
      <c r="R7606"/>
      <c r="S7606"/>
    </row>
    <row r="7607" spans="18:19" x14ac:dyDescent="0.25">
      <c r="R7607"/>
      <c r="S7607"/>
    </row>
    <row r="7608" spans="18:19" x14ac:dyDescent="0.25">
      <c r="R7608"/>
      <c r="S7608"/>
    </row>
    <row r="7609" spans="18:19" x14ac:dyDescent="0.25">
      <c r="R7609"/>
      <c r="S7609"/>
    </row>
    <row r="7610" spans="18:19" x14ac:dyDescent="0.25">
      <c r="R7610"/>
      <c r="S7610"/>
    </row>
    <row r="7611" spans="18:19" x14ac:dyDescent="0.25">
      <c r="R7611"/>
      <c r="S7611"/>
    </row>
    <row r="7612" spans="18:19" x14ac:dyDescent="0.25">
      <c r="R7612"/>
      <c r="S7612"/>
    </row>
    <row r="7613" spans="18:19" x14ac:dyDescent="0.25">
      <c r="R7613"/>
      <c r="S7613"/>
    </row>
    <row r="7614" spans="18:19" x14ac:dyDescent="0.25">
      <c r="R7614"/>
      <c r="S7614"/>
    </row>
    <row r="7615" spans="18:19" x14ac:dyDescent="0.25">
      <c r="R7615"/>
      <c r="S7615"/>
    </row>
    <row r="7616" spans="18:19" x14ac:dyDescent="0.25">
      <c r="R7616"/>
      <c r="S7616"/>
    </row>
    <row r="7617" spans="18:19" x14ac:dyDescent="0.25">
      <c r="R7617"/>
      <c r="S7617"/>
    </row>
    <row r="7618" spans="18:19" x14ac:dyDescent="0.25">
      <c r="R7618"/>
      <c r="S7618"/>
    </row>
    <row r="7619" spans="18:19" x14ac:dyDescent="0.25">
      <c r="R7619"/>
      <c r="S7619"/>
    </row>
    <row r="7620" spans="18:19" x14ac:dyDescent="0.25">
      <c r="R7620"/>
      <c r="S7620"/>
    </row>
    <row r="7621" spans="18:19" x14ac:dyDescent="0.25">
      <c r="R7621"/>
      <c r="S7621"/>
    </row>
    <row r="7622" spans="18:19" x14ac:dyDescent="0.25">
      <c r="R7622"/>
      <c r="S7622"/>
    </row>
    <row r="7623" spans="18:19" x14ac:dyDescent="0.25">
      <c r="R7623"/>
      <c r="S7623"/>
    </row>
    <row r="7624" spans="18:19" x14ac:dyDescent="0.25">
      <c r="R7624"/>
      <c r="S7624"/>
    </row>
    <row r="7625" spans="18:19" x14ac:dyDescent="0.25">
      <c r="R7625"/>
      <c r="S7625"/>
    </row>
    <row r="7626" spans="18:19" x14ac:dyDescent="0.25">
      <c r="R7626"/>
      <c r="S7626"/>
    </row>
    <row r="7627" spans="18:19" x14ac:dyDescent="0.25">
      <c r="R7627"/>
      <c r="S7627"/>
    </row>
    <row r="7628" spans="18:19" x14ac:dyDescent="0.25">
      <c r="R7628"/>
      <c r="S7628"/>
    </row>
    <row r="7629" spans="18:19" x14ac:dyDescent="0.25">
      <c r="R7629"/>
      <c r="S7629"/>
    </row>
    <row r="7630" spans="18:19" x14ac:dyDescent="0.25">
      <c r="R7630"/>
      <c r="S7630"/>
    </row>
    <row r="7631" spans="18:19" x14ac:dyDescent="0.25">
      <c r="R7631"/>
      <c r="S7631"/>
    </row>
    <row r="7632" spans="18:19" x14ac:dyDescent="0.25">
      <c r="R7632"/>
      <c r="S7632"/>
    </row>
    <row r="7633" spans="18:19" x14ac:dyDescent="0.25">
      <c r="R7633"/>
      <c r="S7633"/>
    </row>
    <row r="7634" spans="18:19" x14ac:dyDescent="0.25">
      <c r="R7634"/>
      <c r="S7634"/>
    </row>
    <row r="7635" spans="18:19" x14ac:dyDescent="0.25">
      <c r="R7635"/>
      <c r="S7635"/>
    </row>
    <row r="7636" spans="18:19" x14ac:dyDescent="0.25">
      <c r="R7636"/>
      <c r="S7636"/>
    </row>
    <row r="7637" spans="18:19" x14ac:dyDescent="0.25">
      <c r="R7637"/>
      <c r="S7637"/>
    </row>
    <row r="7638" spans="18:19" x14ac:dyDescent="0.25">
      <c r="R7638"/>
      <c r="S7638"/>
    </row>
    <row r="7639" spans="18:19" x14ac:dyDescent="0.25">
      <c r="R7639"/>
      <c r="S7639"/>
    </row>
    <row r="7640" spans="18:19" x14ac:dyDescent="0.25">
      <c r="R7640"/>
      <c r="S7640"/>
    </row>
    <row r="7641" spans="18:19" x14ac:dyDescent="0.25">
      <c r="R7641"/>
      <c r="S7641"/>
    </row>
    <row r="7642" spans="18:19" x14ac:dyDescent="0.25">
      <c r="R7642"/>
      <c r="S7642"/>
    </row>
    <row r="7643" spans="18:19" x14ac:dyDescent="0.25">
      <c r="R7643"/>
      <c r="S7643"/>
    </row>
    <row r="7644" spans="18:19" x14ac:dyDescent="0.25">
      <c r="R7644"/>
      <c r="S7644"/>
    </row>
    <row r="7645" spans="18:19" x14ac:dyDescent="0.25">
      <c r="R7645"/>
      <c r="S7645"/>
    </row>
    <row r="7646" spans="18:19" x14ac:dyDescent="0.25">
      <c r="R7646"/>
      <c r="S7646"/>
    </row>
    <row r="7647" spans="18:19" x14ac:dyDescent="0.25">
      <c r="R7647"/>
      <c r="S7647"/>
    </row>
    <row r="7648" spans="18:19" x14ac:dyDescent="0.25">
      <c r="R7648"/>
      <c r="S7648"/>
    </row>
    <row r="7649" spans="18:19" x14ac:dyDescent="0.25">
      <c r="R7649"/>
      <c r="S7649"/>
    </row>
    <row r="7650" spans="18:19" x14ac:dyDescent="0.25">
      <c r="R7650"/>
      <c r="S7650"/>
    </row>
    <row r="7651" spans="18:19" x14ac:dyDescent="0.25">
      <c r="R7651"/>
      <c r="S7651"/>
    </row>
    <row r="7652" spans="18:19" x14ac:dyDescent="0.25">
      <c r="R7652"/>
      <c r="S7652"/>
    </row>
    <row r="7653" spans="18:19" x14ac:dyDescent="0.25">
      <c r="R7653"/>
      <c r="S7653"/>
    </row>
    <row r="7654" spans="18:19" x14ac:dyDescent="0.25">
      <c r="R7654"/>
      <c r="S7654"/>
    </row>
    <row r="7655" spans="18:19" x14ac:dyDescent="0.25">
      <c r="R7655"/>
      <c r="S7655"/>
    </row>
    <row r="7656" spans="18:19" x14ac:dyDescent="0.25">
      <c r="R7656"/>
      <c r="S7656"/>
    </row>
    <row r="7657" spans="18:19" x14ac:dyDescent="0.25">
      <c r="R7657"/>
      <c r="S7657"/>
    </row>
    <row r="7658" spans="18:19" x14ac:dyDescent="0.25">
      <c r="R7658"/>
      <c r="S7658"/>
    </row>
    <row r="7659" spans="18:19" x14ac:dyDescent="0.25">
      <c r="R7659"/>
      <c r="S7659"/>
    </row>
    <row r="7660" spans="18:19" x14ac:dyDescent="0.25">
      <c r="R7660"/>
      <c r="S7660"/>
    </row>
    <row r="7661" spans="18:19" x14ac:dyDescent="0.25">
      <c r="R7661"/>
      <c r="S7661"/>
    </row>
    <row r="7662" spans="18:19" x14ac:dyDescent="0.25">
      <c r="R7662"/>
      <c r="S7662"/>
    </row>
    <row r="7663" spans="18:19" x14ac:dyDescent="0.25">
      <c r="R7663"/>
      <c r="S7663"/>
    </row>
    <row r="7664" spans="18:19" x14ac:dyDescent="0.25">
      <c r="R7664"/>
      <c r="S7664"/>
    </row>
    <row r="7665" spans="18:19" x14ac:dyDescent="0.25">
      <c r="R7665"/>
      <c r="S7665"/>
    </row>
    <row r="7666" spans="18:19" x14ac:dyDescent="0.25">
      <c r="R7666"/>
      <c r="S7666"/>
    </row>
    <row r="7667" spans="18:19" x14ac:dyDescent="0.25">
      <c r="R7667"/>
      <c r="S7667"/>
    </row>
    <row r="7668" spans="18:19" x14ac:dyDescent="0.25">
      <c r="R7668"/>
      <c r="S7668"/>
    </row>
    <row r="7669" spans="18:19" x14ac:dyDescent="0.25">
      <c r="R7669"/>
      <c r="S7669"/>
    </row>
    <row r="7670" spans="18:19" x14ac:dyDescent="0.25">
      <c r="R7670"/>
      <c r="S7670"/>
    </row>
    <row r="7671" spans="18:19" x14ac:dyDescent="0.25">
      <c r="R7671"/>
      <c r="S7671"/>
    </row>
    <row r="7672" spans="18:19" x14ac:dyDescent="0.25">
      <c r="R7672"/>
      <c r="S7672"/>
    </row>
    <row r="7673" spans="18:19" x14ac:dyDescent="0.25">
      <c r="R7673"/>
      <c r="S7673"/>
    </row>
    <row r="7674" spans="18:19" x14ac:dyDescent="0.25">
      <c r="R7674"/>
      <c r="S7674"/>
    </row>
    <row r="7675" spans="18:19" x14ac:dyDescent="0.25">
      <c r="R7675"/>
      <c r="S7675"/>
    </row>
    <row r="7676" spans="18:19" x14ac:dyDescent="0.25">
      <c r="R7676"/>
      <c r="S7676"/>
    </row>
    <row r="7677" spans="18:19" x14ac:dyDescent="0.25">
      <c r="R7677"/>
      <c r="S7677"/>
    </row>
    <row r="7678" spans="18:19" x14ac:dyDescent="0.25">
      <c r="R7678"/>
      <c r="S7678"/>
    </row>
    <row r="7679" spans="18:19" x14ac:dyDescent="0.25">
      <c r="R7679"/>
      <c r="S7679"/>
    </row>
    <row r="7680" spans="18:19" x14ac:dyDescent="0.25">
      <c r="R7680"/>
      <c r="S7680"/>
    </row>
    <row r="7681" spans="18:19" x14ac:dyDescent="0.25">
      <c r="R7681"/>
      <c r="S7681"/>
    </row>
    <row r="7682" spans="18:19" x14ac:dyDescent="0.25">
      <c r="R7682"/>
      <c r="S7682"/>
    </row>
    <row r="7683" spans="18:19" x14ac:dyDescent="0.25">
      <c r="R7683"/>
      <c r="S7683"/>
    </row>
    <row r="7684" spans="18:19" x14ac:dyDescent="0.25">
      <c r="R7684"/>
      <c r="S7684"/>
    </row>
    <row r="7685" spans="18:19" x14ac:dyDescent="0.25">
      <c r="R7685"/>
      <c r="S7685"/>
    </row>
    <row r="7686" spans="18:19" x14ac:dyDescent="0.25">
      <c r="R7686"/>
      <c r="S7686"/>
    </row>
    <row r="7687" spans="18:19" x14ac:dyDescent="0.25">
      <c r="R7687"/>
      <c r="S7687"/>
    </row>
    <row r="7688" spans="18:19" x14ac:dyDescent="0.25">
      <c r="R7688"/>
      <c r="S7688"/>
    </row>
    <row r="7689" spans="18:19" x14ac:dyDescent="0.25">
      <c r="R7689"/>
      <c r="S7689"/>
    </row>
    <row r="7690" spans="18:19" x14ac:dyDescent="0.25">
      <c r="R7690"/>
      <c r="S7690"/>
    </row>
    <row r="7691" spans="18:19" x14ac:dyDescent="0.25">
      <c r="R7691"/>
      <c r="S7691"/>
    </row>
    <row r="7692" spans="18:19" x14ac:dyDescent="0.25">
      <c r="R7692"/>
      <c r="S7692"/>
    </row>
    <row r="7693" spans="18:19" x14ac:dyDescent="0.25">
      <c r="R7693"/>
      <c r="S7693"/>
    </row>
    <row r="7694" spans="18:19" x14ac:dyDescent="0.25">
      <c r="R7694"/>
      <c r="S7694"/>
    </row>
    <row r="7695" spans="18:19" x14ac:dyDescent="0.25">
      <c r="R7695"/>
      <c r="S7695"/>
    </row>
    <row r="7696" spans="18:19" x14ac:dyDescent="0.25">
      <c r="R7696"/>
      <c r="S7696"/>
    </row>
    <row r="7697" spans="18:19" x14ac:dyDescent="0.25">
      <c r="R7697"/>
      <c r="S7697"/>
    </row>
    <row r="7698" spans="18:19" x14ac:dyDescent="0.25">
      <c r="R7698"/>
      <c r="S7698"/>
    </row>
    <row r="7699" spans="18:19" x14ac:dyDescent="0.25">
      <c r="R7699"/>
      <c r="S7699"/>
    </row>
    <row r="7700" spans="18:19" x14ac:dyDescent="0.25">
      <c r="R7700"/>
      <c r="S7700"/>
    </row>
    <row r="7701" spans="18:19" x14ac:dyDescent="0.25">
      <c r="R7701"/>
      <c r="S7701"/>
    </row>
    <row r="7702" spans="18:19" x14ac:dyDescent="0.25">
      <c r="R7702"/>
      <c r="S7702"/>
    </row>
    <row r="7703" spans="18:19" x14ac:dyDescent="0.25">
      <c r="R7703"/>
      <c r="S7703"/>
    </row>
    <row r="7704" spans="18:19" x14ac:dyDescent="0.25">
      <c r="R7704"/>
      <c r="S7704"/>
    </row>
    <row r="7705" spans="18:19" x14ac:dyDescent="0.25">
      <c r="R7705"/>
      <c r="S7705"/>
    </row>
    <row r="7706" spans="18:19" x14ac:dyDescent="0.25">
      <c r="R7706"/>
      <c r="S7706"/>
    </row>
    <row r="7707" spans="18:19" x14ac:dyDescent="0.25">
      <c r="R7707"/>
      <c r="S7707"/>
    </row>
    <row r="7708" spans="18:19" x14ac:dyDescent="0.25">
      <c r="R7708"/>
      <c r="S7708"/>
    </row>
    <row r="7709" spans="18:19" x14ac:dyDescent="0.25">
      <c r="R7709"/>
      <c r="S7709"/>
    </row>
    <row r="7710" spans="18:19" x14ac:dyDescent="0.25">
      <c r="R7710"/>
      <c r="S7710"/>
    </row>
    <row r="7711" spans="18:19" x14ac:dyDescent="0.25">
      <c r="R7711"/>
      <c r="S7711"/>
    </row>
    <row r="7712" spans="18:19" x14ac:dyDescent="0.25">
      <c r="R7712"/>
      <c r="S7712"/>
    </row>
    <row r="7713" spans="18:19" x14ac:dyDescent="0.25">
      <c r="R7713"/>
      <c r="S7713"/>
    </row>
    <row r="7714" spans="18:19" x14ac:dyDescent="0.25">
      <c r="R7714"/>
      <c r="S7714"/>
    </row>
    <row r="7715" spans="18:19" x14ac:dyDescent="0.25">
      <c r="R7715"/>
      <c r="S7715"/>
    </row>
    <row r="7716" spans="18:19" x14ac:dyDescent="0.25">
      <c r="R7716"/>
      <c r="S7716"/>
    </row>
    <row r="7717" spans="18:19" x14ac:dyDescent="0.25">
      <c r="R7717"/>
      <c r="S7717"/>
    </row>
    <row r="7718" spans="18:19" x14ac:dyDescent="0.25">
      <c r="R7718"/>
      <c r="S7718"/>
    </row>
    <row r="7719" spans="18:19" x14ac:dyDescent="0.25">
      <c r="R7719"/>
      <c r="S7719"/>
    </row>
    <row r="7720" spans="18:19" x14ac:dyDescent="0.25">
      <c r="R7720"/>
      <c r="S7720"/>
    </row>
    <row r="7721" spans="18:19" x14ac:dyDescent="0.25">
      <c r="R7721"/>
      <c r="S7721"/>
    </row>
    <row r="7722" spans="18:19" x14ac:dyDescent="0.25">
      <c r="R7722"/>
      <c r="S7722"/>
    </row>
    <row r="7723" spans="18:19" x14ac:dyDescent="0.25">
      <c r="R7723"/>
      <c r="S7723"/>
    </row>
    <row r="7724" spans="18:19" x14ac:dyDescent="0.25">
      <c r="R7724"/>
      <c r="S7724"/>
    </row>
    <row r="7725" spans="18:19" x14ac:dyDescent="0.25">
      <c r="R7725"/>
      <c r="S7725"/>
    </row>
    <row r="7726" spans="18:19" x14ac:dyDescent="0.25">
      <c r="R7726"/>
      <c r="S7726"/>
    </row>
    <row r="7727" spans="18:19" x14ac:dyDescent="0.25">
      <c r="R7727"/>
      <c r="S7727"/>
    </row>
    <row r="7728" spans="18:19" x14ac:dyDescent="0.25">
      <c r="R7728"/>
      <c r="S7728"/>
    </row>
    <row r="7729" spans="18:19" x14ac:dyDescent="0.25">
      <c r="R7729"/>
      <c r="S7729"/>
    </row>
    <row r="7730" spans="18:19" x14ac:dyDescent="0.25">
      <c r="R7730"/>
      <c r="S7730"/>
    </row>
    <row r="7731" spans="18:19" x14ac:dyDescent="0.25">
      <c r="R7731"/>
      <c r="S7731"/>
    </row>
    <row r="7732" spans="18:19" x14ac:dyDescent="0.25">
      <c r="R7732"/>
      <c r="S7732"/>
    </row>
    <row r="7733" spans="18:19" x14ac:dyDescent="0.25">
      <c r="R7733"/>
      <c r="S7733"/>
    </row>
    <row r="7734" spans="18:19" x14ac:dyDescent="0.25">
      <c r="R7734"/>
      <c r="S7734"/>
    </row>
    <row r="7735" spans="18:19" x14ac:dyDescent="0.25">
      <c r="R7735"/>
      <c r="S7735"/>
    </row>
    <row r="7736" spans="18:19" x14ac:dyDescent="0.25">
      <c r="R7736"/>
      <c r="S7736"/>
    </row>
    <row r="7737" spans="18:19" x14ac:dyDescent="0.25">
      <c r="R7737"/>
      <c r="S7737"/>
    </row>
    <row r="7738" spans="18:19" x14ac:dyDescent="0.25">
      <c r="R7738"/>
      <c r="S7738"/>
    </row>
    <row r="7739" spans="18:19" x14ac:dyDescent="0.25">
      <c r="R7739"/>
      <c r="S7739"/>
    </row>
    <row r="7740" spans="18:19" x14ac:dyDescent="0.25">
      <c r="R7740"/>
      <c r="S7740"/>
    </row>
    <row r="7741" spans="18:19" x14ac:dyDescent="0.25">
      <c r="R7741"/>
      <c r="S7741"/>
    </row>
    <row r="7742" spans="18:19" x14ac:dyDescent="0.25">
      <c r="R7742"/>
      <c r="S7742"/>
    </row>
    <row r="7743" spans="18:19" x14ac:dyDescent="0.25">
      <c r="R7743"/>
      <c r="S7743"/>
    </row>
    <row r="7744" spans="18:19" x14ac:dyDescent="0.25">
      <c r="R7744"/>
      <c r="S7744"/>
    </row>
    <row r="7745" spans="18:19" x14ac:dyDescent="0.25">
      <c r="R7745"/>
      <c r="S7745"/>
    </row>
    <row r="7746" spans="18:19" x14ac:dyDescent="0.25">
      <c r="R7746"/>
      <c r="S7746"/>
    </row>
    <row r="7747" spans="18:19" x14ac:dyDescent="0.25">
      <c r="R7747"/>
      <c r="S7747"/>
    </row>
    <row r="7748" spans="18:19" x14ac:dyDescent="0.25">
      <c r="R7748"/>
      <c r="S7748"/>
    </row>
    <row r="7749" spans="18:19" x14ac:dyDescent="0.25">
      <c r="R7749"/>
      <c r="S7749"/>
    </row>
    <row r="7750" spans="18:19" x14ac:dyDescent="0.25">
      <c r="R7750"/>
      <c r="S7750"/>
    </row>
    <row r="7751" spans="18:19" x14ac:dyDescent="0.25">
      <c r="R7751"/>
      <c r="S7751"/>
    </row>
    <row r="7752" spans="18:19" x14ac:dyDescent="0.25">
      <c r="R7752"/>
      <c r="S7752"/>
    </row>
    <row r="7753" spans="18:19" x14ac:dyDescent="0.25">
      <c r="R7753"/>
      <c r="S7753"/>
    </row>
    <row r="7754" spans="18:19" x14ac:dyDescent="0.25">
      <c r="R7754"/>
      <c r="S7754"/>
    </row>
    <row r="7755" spans="18:19" x14ac:dyDescent="0.25">
      <c r="R7755"/>
      <c r="S7755"/>
    </row>
    <row r="7756" spans="18:19" x14ac:dyDescent="0.25">
      <c r="R7756"/>
      <c r="S7756"/>
    </row>
    <row r="7757" spans="18:19" x14ac:dyDescent="0.25">
      <c r="R7757"/>
      <c r="S7757"/>
    </row>
    <row r="7758" spans="18:19" x14ac:dyDescent="0.25">
      <c r="R7758"/>
      <c r="S7758"/>
    </row>
    <row r="7759" spans="18:19" x14ac:dyDescent="0.25">
      <c r="R7759"/>
      <c r="S7759"/>
    </row>
    <row r="7760" spans="18:19" x14ac:dyDescent="0.25">
      <c r="R7760"/>
      <c r="S7760"/>
    </row>
    <row r="7761" spans="18:19" x14ac:dyDescent="0.25">
      <c r="R7761"/>
      <c r="S7761"/>
    </row>
    <row r="7762" spans="18:19" x14ac:dyDescent="0.25">
      <c r="R7762"/>
      <c r="S7762"/>
    </row>
    <row r="7763" spans="18:19" x14ac:dyDescent="0.25">
      <c r="R7763"/>
      <c r="S7763"/>
    </row>
    <row r="7764" spans="18:19" x14ac:dyDescent="0.25">
      <c r="R7764"/>
      <c r="S7764"/>
    </row>
    <row r="7765" spans="18:19" x14ac:dyDescent="0.25">
      <c r="R7765"/>
      <c r="S7765"/>
    </row>
    <row r="7766" spans="18:19" x14ac:dyDescent="0.25">
      <c r="R7766"/>
      <c r="S7766"/>
    </row>
    <row r="7767" spans="18:19" x14ac:dyDescent="0.25">
      <c r="R7767"/>
      <c r="S7767"/>
    </row>
    <row r="7768" spans="18:19" x14ac:dyDescent="0.25">
      <c r="R7768"/>
      <c r="S7768"/>
    </row>
    <row r="7769" spans="18:19" x14ac:dyDescent="0.25">
      <c r="R7769"/>
      <c r="S7769"/>
    </row>
    <row r="7770" spans="18:19" x14ac:dyDescent="0.25">
      <c r="R7770"/>
      <c r="S7770"/>
    </row>
    <row r="7771" spans="18:19" x14ac:dyDescent="0.25">
      <c r="R7771"/>
      <c r="S7771"/>
    </row>
    <row r="7772" spans="18:19" x14ac:dyDescent="0.25">
      <c r="R7772"/>
      <c r="S7772"/>
    </row>
    <row r="7773" spans="18:19" x14ac:dyDescent="0.25">
      <c r="R7773"/>
      <c r="S7773"/>
    </row>
    <row r="7774" spans="18:19" x14ac:dyDescent="0.25">
      <c r="R7774"/>
      <c r="S7774"/>
    </row>
    <row r="7775" spans="18:19" x14ac:dyDescent="0.25">
      <c r="R7775"/>
      <c r="S7775"/>
    </row>
    <row r="7776" spans="18:19" x14ac:dyDescent="0.25">
      <c r="R7776"/>
      <c r="S7776"/>
    </row>
    <row r="7777" spans="18:19" x14ac:dyDescent="0.25">
      <c r="R7777"/>
      <c r="S7777"/>
    </row>
    <row r="7778" spans="18:19" x14ac:dyDescent="0.25">
      <c r="R7778"/>
      <c r="S7778"/>
    </row>
    <row r="7779" spans="18:19" x14ac:dyDescent="0.25">
      <c r="R7779"/>
      <c r="S7779"/>
    </row>
    <row r="7780" spans="18:19" x14ac:dyDescent="0.25">
      <c r="R7780"/>
      <c r="S7780"/>
    </row>
    <row r="7781" spans="18:19" x14ac:dyDescent="0.25">
      <c r="R7781"/>
      <c r="S7781"/>
    </row>
    <row r="7782" spans="18:19" x14ac:dyDescent="0.25">
      <c r="R7782"/>
      <c r="S7782"/>
    </row>
    <row r="7783" spans="18:19" x14ac:dyDescent="0.25">
      <c r="R7783"/>
      <c r="S7783"/>
    </row>
    <row r="7784" spans="18:19" x14ac:dyDescent="0.25">
      <c r="R7784"/>
      <c r="S7784"/>
    </row>
    <row r="7785" spans="18:19" x14ac:dyDescent="0.25">
      <c r="R7785"/>
      <c r="S7785"/>
    </row>
    <row r="7786" spans="18:19" x14ac:dyDescent="0.25">
      <c r="R7786"/>
      <c r="S7786"/>
    </row>
    <row r="7787" spans="18:19" x14ac:dyDescent="0.25">
      <c r="R7787"/>
      <c r="S7787"/>
    </row>
    <row r="7788" spans="18:19" x14ac:dyDescent="0.25">
      <c r="R7788"/>
      <c r="S7788"/>
    </row>
    <row r="7789" spans="18:19" x14ac:dyDescent="0.25">
      <c r="R7789"/>
      <c r="S7789"/>
    </row>
    <row r="7790" spans="18:19" x14ac:dyDescent="0.25">
      <c r="R7790"/>
      <c r="S7790"/>
    </row>
    <row r="7791" spans="18:19" x14ac:dyDescent="0.25">
      <c r="R7791"/>
      <c r="S7791"/>
    </row>
    <row r="7792" spans="18:19" x14ac:dyDescent="0.25">
      <c r="R7792"/>
      <c r="S7792"/>
    </row>
    <row r="7793" spans="18:19" x14ac:dyDescent="0.25">
      <c r="R7793"/>
      <c r="S7793"/>
    </row>
    <row r="7794" spans="18:19" x14ac:dyDescent="0.25">
      <c r="R7794"/>
      <c r="S7794"/>
    </row>
    <row r="7795" spans="18:19" x14ac:dyDescent="0.25">
      <c r="R7795"/>
      <c r="S7795"/>
    </row>
    <row r="7796" spans="18:19" x14ac:dyDescent="0.25">
      <c r="R7796"/>
      <c r="S7796"/>
    </row>
    <row r="7797" spans="18:19" x14ac:dyDescent="0.25">
      <c r="R7797"/>
      <c r="S7797"/>
    </row>
    <row r="7798" spans="18:19" x14ac:dyDescent="0.25">
      <c r="R7798"/>
      <c r="S7798"/>
    </row>
    <row r="7799" spans="18:19" x14ac:dyDescent="0.25">
      <c r="R7799"/>
      <c r="S7799"/>
    </row>
    <row r="7800" spans="18:19" x14ac:dyDescent="0.25">
      <c r="R7800"/>
      <c r="S7800"/>
    </row>
    <row r="7801" spans="18:19" x14ac:dyDescent="0.25">
      <c r="R7801"/>
      <c r="S7801"/>
    </row>
    <row r="7802" spans="18:19" x14ac:dyDescent="0.25">
      <c r="R7802"/>
      <c r="S7802"/>
    </row>
    <row r="7803" spans="18:19" x14ac:dyDescent="0.25">
      <c r="R7803"/>
      <c r="S7803"/>
    </row>
    <row r="7804" spans="18:19" x14ac:dyDescent="0.25">
      <c r="R7804"/>
      <c r="S7804"/>
    </row>
    <row r="7805" spans="18:19" x14ac:dyDescent="0.25">
      <c r="R7805"/>
      <c r="S7805"/>
    </row>
    <row r="7806" spans="18:19" x14ac:dyDescent="0.25">
      <c r="R7806"/>
      <c r="S7806"/>
    </row>
    <row r="7807" spans="18:19" x14ac:dyDescent="0.25">
      <c r="R7807"/>
      <c r="S7807"/>
    </row>
    <row r="7808" spans="18:19" x14ac:dyDescent="0.25">
      <c r="R7808"/>
      <c r="S7808"/>
    </row>
    <row r="7809" spans="18:19" x14ac:dyDescent="0.25">
      <c r="R7809"/>
      <c r="S7809"/>
    </row>
    <row r="7810" spans="18:19" x14ac:dyDescent="0.25">
      <c r="R7810"/>
      <c r="S7810"/>
    </row>
    <row r="7811" spans="18:19" x14ac:dyDescent="0.25">
      <c r="R7811"/>
      <c r="S7811"/>
    </row>
    <row r="7812" spans="18:19" x14ac:dyDescent="0.25">
      <c r="R7812"/>
      <c r="S7812"/>
    </row>
    <row r="7813" spans="18:19" x14ac:dyDescent="0.25">
      <c r="R7813"/>
      <c r="S7813"/>
    </row>
    <row r="7814" spans="18:19" x14ac:dyDescent="0.25">
      <c r="R7814"/>
      <c r="S7814"/>
    </row>
    <row r="7815" spans="18:19" x14ac:dyDescent="0.25">
      <c r="R7815"/>
      <c r="S7815"/>
    </row>
    <row r="7816" spans="18:19" x14ac:dyDescent="0.25">
      <c r="R7816"/>
      <c r="S7816"/>
    </row>
    <row r="7817" spans="18:19" x14ac:dyDescent="0.25">
      <c r="R7817"/>
      <c r="S7817"/>
    </row>
    <row r="7818" spans="18:19" x14ac:dyDescent="0.25">
      <c r="R7818"/>
      <c r="S7818"/>
    </row>
    <row r="7819" spans="18:19" x14ac:dyDescent="0.25">
      <c r="R7819"/>
      <c r="S7819"/>
    </row>
    <row r="7820" spans="18:19" x14ac:dyDescent="0.25">
      <c r="R7820"/>
      <c r="S7820"/>
    </row>
    <row r="7821" spans="18:19" x14ac:dyDescent="0.25">
      <c r="R7821"/>
      <c r="S7821"/>
    </row>
    <row r="7822" spans="18:19" x14ac:dyDescent="0.25">
      <c r="R7822"/>
      <c r="S7822"/>
    </row>
    <row r="7823" spans="18:19" x14ac:dyDescent="0.25">
      <c r="R7823"/>
      <c r="S7823"/>
    </row>
    <row r="7824" spans="18:19" x14ac:dyDescent="0.25">
      <c r="R7824"/>
      <c r="S7824"/>
    </row>
    <row r="7825" spans="18:19" x14ac:dyDescent="0.25">
      <c r="R7825"/>
      <c r="S7825"/>
    </row>
    <row r="7826" spans="18:19" x14ac:dyDescent="0.25">
      <c r="R7826"/>
      <c r="S7826"/>
    </row>
    <row r="7827" spans="18:19" x14ac:dyDescent="0.25">
      <c r="R7827"/>
      <c r="S7827"/>
    </row>
    <row r="7828" spans="18:19" x14ac:dyDescent="0.25">
      <c r="R7828"/>
      <c r="S7828"/>
    </row>
    <row r="7829" spans="18:19" x14ac:dyDescent="0.25">
      <c r="R7829"/>
      <c r="S7829"/>
    </row>
    <row r="7830" spans="18:19" x14ac:dyDescent="0.25">
      <c r="R7830"/>
      <c r="S7830"/>
    </row>
    <row r="7831" spans="18:19" x14ac:dyDescent="0.25">
      <c r="R7831"/>
      <c r="S7831"/>
    </row>
    <row r="7832" spans="18:19" x14ac:dyDescent="0.25">
      <c r="R7832"/>
      <c r="S7832"/>
    </row>
    <row r="7833" spans="18:19" x14ac:dyDescent="0.25">
      <c r="R7833"/>
      <c r="S7833"/>
    </row>
    <row r="7834" spans="18:19" x14ac:dyDescent="0.25">
      <c r="R7834"/>
      <c r="S7834"/>
    </row>
    <row r="7835" spans="18:19" x14ac:dyDescent="0.25">
      <c r="R7835"/>
      <c r="S7835"/>
    </row>
    <row r="7836" spans="18:19" x14ac:dyDescent="0.25">
      <c r="R7836"/>
      <c r="S7836"/>
    </row>
    <row r="7837" spans="18:19" x14ac:dyDescent="0.25">
      <c r="R7837"/>
      <c r="S7837"/>
    </row>
    <row r="7838" spans="18:19" x14ac:dyDescent="0.25">
      <c r="R7838"/>
      <c r="S7838"/>
    </row>
    <row r="7839" spans="18:19" x14ac:dyDescent="0.25">
      <c r="R7839"/>
      <c r="S7839"/>
    </row>
    <row r="7840" spans="18:19" x14ac:dyDescent="0.25">
      <c r="R7840"/>
      <c r="S7840"/>
    </row>
    <row r="7841" spans="18:19" x14ac:dyDescent="0.25">
      <c r="R7841"/>
      <c r="S7841"/>
    </row>
    <row r="7842" spans="18:19" x14ac:dyDescent="0.25">
      <c r="R7842"/>
      <c r="S7842"/>
    </row>
    <row r="7843" spans="18:19" x14ac:dyDescent="0.25">
      <c r="R7843"/>
      <c r="S7843"/>
    </row>
    <row r="7844" spans="18:19" x14ac:dyDescent="0.25">
      <c r="R7844"/>
      <c r="S7844"/>
    </row>
    <row r="7845" spans="18:19" x14ac:dyDescent="0.25">
      <c r="R7845"/>
      <c r="S7845"/>
    </row>
    <row r="7846" spans="18:19" x14ac:dyDescent="0.25">
      <c r="R7846"/>
      <c r="S7846"/>
    </row>
    <row r="7847" spans="18:19" x14ac:dyDescent="0.25">
      <c r="R7847"/>
      <c r="S7847"/>
    </row>
    <row r="7848" spans="18:19" x14ac:dyDescent="0.25">
      <c r="R7848"/>
      <c r="S7848"/>
    </row>
    <row r="7849" spans="18:19" x14ac:dyDescent="0.25">
      <c r="R7849"/>
      <c r="S7849"/>
    </row>
    <row r="7850" spans="18:19" x14ac:dyDescent="0.25">
      <c r="R7850"/>
      <c r="S7850"/>
    </row>
    <row r="7851" spans="18:19" x14ac:dyDescent="0.25">
      <c r="R7851"/>
      <c r="S7851"/>
    </row>
    <row r="7852" spans="18:19" x14ac:dyDescent="0.25">
      <c r="R7852"/>
      <c r="S7852"/>
    </row>
    <row r="7853" spans="18:19" x14ac:dyDescent="0.25">
      <c r="R7853"/>
      <c r="S7853"/>
    </row>
    <row r="7854" spans="18:19" x14ac:dyDescent="0.25">
      <c r="R7854"/>
      <c r="S7854"/>
    </row>
    <row r="7855" spans="18:19" x14ac:dyDescent="0.25">
      <c r="R7855"/>
      <c r="S7855"/>
    </row>
    <row r="7856" spans="18:19" x14ac:dyDescent="0.25">
      <c r="R7856"/>
      <c r="S7856"/>
    </row>
    <row r="7857" spans="18:19" x14ac:dyDescent="0.25">
      <c r="R7857"/>
      <c r="S7857"/>
    </row>
    <row r="7858" spans="18:19" x14ac:dyDescent="0.25">
      <c r="R7858"/>
      <c r="S7858"/>
    </row>
    <row r="7859" spans="18:19" x14ac:dyDescent="0.25">
      <c r="R7859"/>
      <c r="S7859"/>
    </row>
    <row r="7860" spans="18:19" x14ac:dyDescent="0.25">
      <c r="R7860"/>
      <c r="S7860"/>
    </row>
    <row r="7861" spans="18:19" x14ac:dyDescent="0.25">
      <c r="R7861"/>
      <c r="S7861"/>
    </row>
    <row r="7862" spans="18:19" x14ac:dyDescent="0.25">
      <c r="R7862"/>
      <c r="S7862"/>
    </row>
    <row r="7863" spans="18:19" x14ac:dyDescent="0.25">
      <c r="R7863"/>
      <c r="S7863"/>
    </row>
    <row r="7864" spans="18:19" x14ac:dyDescent="0.25">
      <c r="R7864"/>
      <c r="S7864"/>
    </row>
    <row r="7865" spans="18:19" x14ac:dyDescent="0.25">
      <c r="R7865"/>
      <c r="S7865"/>
    </row>
    <row r="7866" spans="18:19" x14ac:dyDescent="0.25">
      <c r="R7866"/>
      <c r="S7866"/>
    </row>
    <row r="7867" spans="18:19" x14ac:dyDescent="0.25">
      <c r="R7867"/>
      <c r="S7867"/>
    </row>
    <row r="7868" spans="18:19" x14ac:dyDescent="0.25">
      <c r="R7868"/>
      <c r="S7868"/>
    </row>
    <row r="7869" spans="18:19" x14ac:dyDescent="0.25">
      <c r="R7869"/>
      <c r="S7869"/>
    </row>
    <row r="7870" spans="18:19" x14ac:dyDescent="0.25">
      <c r="R7870"/>
      <c r="S7870"/>
    </row>
    <row r="7871" spans="18:19" x14ac:dyDescent="0.25">
      <c r="R7871"/>
      <c r="S7871"/>
    </row>
    <row r="7872" spans="18:19" x14ac:dyDescent="0.25">
      <c r="R7872"/>
      <c r="S7872"/>
    </row>
    <row r="7873" spans="18:19" x14ac:dyDescent="0.25">
      <c r="R7873"/>
      <c r="S7873"/>
    </row>
    <row r="7874" spans="18:19" x14ac:dyDescent="0.25">
      <c r="R7874"/>
      <c r="S7874"/>
    </row>
    <row r="7875" spans="18:19" x14ac:dyDescent="0.25">
      <c r="R7875"/>
      <c r="S7875"/>
    </row>
    <row r="7876" spans="18:19" x14ac:dyDescent="0.25">
      <c r="R7876"/>
      <c r="S7876"/>
    </row>
    <row r="7877" spans="18:19" x14ac:dyDescent="0.25">
      <c r="R7877"/>
      <c r="S7877"/>
    </row>
    <row r="7878" spans="18:19" x14ac:dyDescent="0.25">
      <c r="R7878"/>
      <c r="S7878"/>
    </row>
    <row r="7879" spans="18:19" x14ac:dyDescent="0.25">
      <c r="R7879"/>
      <c r="S7879"/>
    </row>
    <row r="7880" spans="18:19" x14ac:dyDescent="0.25">
      <c r="R7880"/>
      <c r="S7880"/>
    </row>
    <row r="7881" spans="18:19" x14ac:dyDescent="0.25">
      <c r="R7881"/>
      <c r="S7881"/>
    </row>
    <row r="7882" spans="18:19" x14ac:dyDescent="0.25">
      <c r="R7882"/>
      <c r="S7882"/>
    </row>
    <row r="7883" spans="18:19" x14ac:dyDescent="0.25">
      <c r="R7883"/>
      <c r="S7883"/>
    </row>
    <row r="7884" spans="18:19" x14ac:dyDescent="0.25">
      <c r="R7884"/>
      <c r="S7884"/>
    </row>
    <row r="7885" spans="18:19" x14ac:dyDescent="0.25">
      <c r="R7885"/>
      <c r="S7885"/>
    </row>
    <row r="7886" spans="18:19" x14ac:dyDescent="0.25">
      <c r="R7886"/>
      <c r="S7886"/>
    </row>
    <row r="7887" spans="18:19" x14ac:dyDescent="0.25">
      <c r="R7887"/>
      <c r="S7887"/>
    </row>
    <row r="7888" spans="18:19" x14ac:dyDescent="0.25">
      <c r="R7888"/>
      <c r="S7888"/>
    </row>
    <row r="7889" spans="18:19" x14ac:dyDescent="0.25">
      <c r="R7889"/>
      <c r="S7889"/>
    </row>
    <row r="7890" spans="18:19" x14ac:dyDescent="0.25">
      <c r="R7890"/>
      <c r="S7890"/>
    </row>
    <row r="7891" spans="18:19" x14ac:dyDescent="0.25">
      <c r="R7891"/>
      <c r="S7891"/>
    </row>
    <row r="7892" spans="18:19" x14ac:dyDescent="0.25">
      <c r="R7892"/>
      <c r="S7892"/>
    </row>
    <row r="7893" spans="18:19" x14ac:dyDescent="0.25">
      <c r="R7893"/>
      <c r="S7893"/>
    </row>
    <row r="7894" spans="18:19" x14ac:dyDescent="0.25">
      <c r="R7894"/>
      <c r="S7894"/>
    </row>
    <row r="7895" spans="18:19" x14ac:dyDescent="0.25">
      <c r="R7895"/>
      <c r="S7895"/>
    </row>
    <row r="7896" spans="18:19" x14ac:dyDescent="0.25">
      <c r="R7896"/>
      <c r="S7896"/>
    </row>
    <row r="7897" spans="18:19" x14ac:dyDescent="0.25">
      <c r="R7897"/>
      <c r="S7897"/>
    </row>
    <row r="7898" spans="18:19" x14ac:dyDescent="0.25">
      <c r="R7898"/>
      <c r="S7898"/>
    </row>
    <row r="7899" spans="18:19" x14ac:dyDescent="0.25">
      <c r="R7899"/>
      <c r="S7899"/>
    </row>
    <row r="7900" spans="18:19" x14ac:dyDescent="0.25">
      <c r="R7900"/>
      <c r="S7900"/>
    </row>
    <row r="7901" spans="18:19" x14ac:dyDescent="0.25">
      <c r="R7901"/>
      <c r="S7901"/>
    </row>
    <row r="7902" spans="18:19" x14ac:dyDescent="0.25">
      <c r="R7902"/>
      <c r="S7902"/>
    </row>
    <row r="7903" spans="18:19" x14ac:dyDescent="0.25">
      <c r="R7903"/>
      <c r="S7903"/>
    </row>
    <row r="7904" spans="18:19" x14ac:dyDescent="0.25">
      <c r="R7904"/>
      <c r="S7904"/>
    </row>
    <row r="7905" spans="18:19" x14ac:dyDescent="0.25">
      <c r="R7905"/>
      <c r="S7905"/>
    </row>
    <row r="7906" spans="18:19" x14ac:dyDescent="0.25">
      <c r="R7906"/>
      <c r="S7906"/>
    </row>
    <row r="7907" spans="18:19" x14ac:dyDescent="0.25">
      <c r="R7907"/>
      <c r="S7907"/>
    </row>
    <row r="7908" spans="18:19" x14ac:dyDescent="0.25">
      <c r="R7908"/>
      <c r="S7908"/>
    </row>
    <row r="7909" spans="18:19" x14ac:dyDescent="0.25">
      <c r="R7909"/>
      <c r="S7909"/>
    </row>
    <row r="7910" spans="18:19" x14ac:dyDescent="0.25">
      <c r="R7910"/>
      <c r="S7910"/>
    </row>
    <row r="7911" spans="18:19" x14ac:dyDescent="0.25">
      <c r="R7911"/>
      <c r="S7911"/>
    </row>
    <row r="7912" spans="18:19" x14ac:dyDescent="0.25">
      <c r="R7912"/>
      <c r="S7912"/>
    </row>
    <row r="7913" spans="18:19" x14ac:dyDescent="0.25">
      <c r="R7913"/>
      <c r="S7913"/>
    </row>
    <row r="7914" spans="18:19" x14ac:dyDescent="0.25">
      <c r="R7914"/>
      <c r="S7914"/>
    </row>
    <row r="7915" spans="18:19" x14ac:dyDescent="0.25">
      <c r="R7915"/>
      <c r="S7915"/>
    </row>
    <row r="7916" spans="18:19" x14ac:dyDescent="0.25">
      <c r="R7916"/>
      <c r="S7916"/>
    </row>
    <row r="7917" spans="18:19" x14ac:dyDescent="0.25">
      <c r="R7917"/>
      <c r="S7917"/>
    </row>
    <row r="7918" spans="18:19" x14ac:dyDescent="0.25">
      <c r="R7918"/>
      <c r="S7918"/>
    </row>
    <row r="7919" spans="18:19" x14ac:dyDescent="0.25">
      <c r="R7919"/>
      <c r="S7919"/>
    </row>
    <row r="7920" spans="18:19" x14ac:dyDescent="0.25">
      <c r="R7920"/>
      <c r="S7920"/>
    </row>
    <row r="7921" spans="18:19" x14ac:dyDescent="0.25">
      <c r="R7921"/>
      <c r="S7921"/>
    </row>
    <row r="7922" spans="18:19" x14ac:dyDescent="0.25">
      <c r="R7922"/>
      <c r="S7922"/>
    </row>
    <row r="7923" spans="18:19" x14ac:dyDescent="0.25">
      <c r="R7923"/>
      <c r="S7923"/>
    </row>
    <row r="7924" spans="18:19" x14ac:dyDescent="0.25">
      <c r="R7924"/>
      <c r="S7924"/>
    </row>
    <row r="7925" spans="18:19" x14ac:dyDescent="0.25">
      <c r="R7925"/>
      <c r="S7925"/>
    </row>
    <row r="7926" spans="18:19" x14ac:dyDescent="0.25">
      <c r="R7926"/>
      <c r="S7926"/>
    </row>
    <row r="7927" spans="18:19" x14ac:dyDescent="0.25">
      <c r="R7927"/>
      <c r="S7927"/>
    </row>
    <row r="7928" spans="18:19" x14ac:dyDescent="0.25">
      <c r="R7928"/>
      <c r="S7928"/>
    </row>
    <row r="7929" spans="18:19" x14ac:dyDescent="0.25">
      <c r="R7929"/>
      <c r="S7929"/>
    </row>
    <row r="7930" spans="18:19" x14ac:dyDescent="0.25">
      <c r="R7930"/>
      <c r="S7930"/>
    </row>
    <row r="7931" spans="18:19" x14ac:dyDescent="0.25">
      <c r="R7931"/>
      <c r="S7931"/>
    </row>
    <row r="7932" spans="18:19" x14ac:dyDescent="0.25">
      <c r="R7932"/>
      <c r="S7932"/>
    </row>
    <row r="7933" spans="18:19" x14ac:dyDescent="0.25">
      <c r="R7933"/>
      <c r="S7933"/>
    </row>
    <row r="7934" spans="18:19" x14ac:dyDescent="0.25">
      <c r="R7934"/>
      <c r="S7934"/>
    </row>
    <row r="7935" spans="18:19" x14ac:dyDescent="0.25">
      <c r="R7935"/>
      <c r="S7935"/>
    </row>
    <row r="7936" spans="18:19" x14ac:dyDescent="0.25">
      <c r="R7936"/>
      <c r="S7936"/>
    </row>
    <row r="7937" spans="18:19" x14ac:dyDescent="0.25">
      <c r="R7937"/>
      <c r="S7937"/>
    </row>
    <row r="7938" spans="18:19" x14ac:dyDescent="0.25">
      <c r="R7938"/>
      <c r="S7938"/>
    </row>
    <row r="7939" spans="18:19" x14ac:dyDescent="0.25">
      <c r="R7939"/>
      <c r="S7939"/>
    </row>
    <row r="7940" spans="18:19" x14ac:dyDescent="0.25">
      <c r="R7940"/>
      <c r="S7940"/>
    </row>
    <row r="7941" spans="18:19" x14ac:dyDescent="0.25">
      <c r="R7941"/>
      <c r="S7941"/>
    </row>
    <row r="7942" spans="18:19" x14ac:dyDescent="0.25">
      <c r="R7942"/>
      <c r="S7942"/>
    </row>
    <row r="7943" spans="18:19" x14ac:dyDescent="0.25">
      <c r="R7943"/>
      <c r="S7943"/>
    </row>
    <row r="7944" spans="18:19" x14ac:dyDescent="0.25">
      <c r="R7944"/>
      <c r="S7944"/>
    </row>
    <row r="7945" spans="18:19" x14ac:dyDescent="0.25">
      <c r="R7945"/>
      <c r="S7945"/>
    </row>
    <row r="7946" spans="18:19" x14ac:dyDescent="0.25">
      <c r="R7946"/>
      <c r="S7946"/>
    </row>
    <row r="7947" spans="18:19" x14ac:dyDescent="0.25">
      <c r="R7947"/>
      <c r="S7947"/>
    </row>
    <row r="7948" spans="18:19" x14ac:dyDescent="0.25">
      <c r="R7948"/>
      <c r="S7948"/>
    </row>
    <row r="7949" spans="18:19" x14ac:dyDescent="0.25">
      <c r="R7949"/>
      <c r="S7949"/>
    </row>
    <row r="7950" spans="18:19" x14ac:dyDescent="0.25">
      <c r="R7950"/>
      <c r="S7950"/>
    </row>
    <row r="7951" spans="18:19" x14ac:dyDescent="0.25">
      <c r="R7951"/>
      <c r="S7951"/>
    </row>
    <row r="7952" spans="18:19" x14ac:dyDescent="0.25">
      <c r="R7952"/>
      <c r="S7952"/>
    </row>
    <row r="7953" spans="18:19" x14ac:dyDescent="0.25">
      <c r="R7953"/>
      <c r="S7953"/>
    </row>
    <row r="7954" spans="18:19" x14ac:dyDescent="0.25">
      <c r="R7954"/>
      <c r="S7954"/>
    </row>
    <row r="7955" spans="18:19" x14ac:dyDescent="0.25">
      <c r="R7955"/>
      <c r="S7955"/>
    </row>
    <row r="7956" spans="18:19" x14ac:dyDescent="0.25">
      <c r="R7956"/>
      <c r="S7956"/>
    </row>
    <row r="7957" spans="18:19" x14ac:dyDescent="0.25">
      <c r="R7957"/>
      <c r="S7957"/>
    </row>
    <row r="7958" spans="18:19" x14ac:dyDescent="0.25">
      <c r="R7958"/>
      <c r="S7958"/>
    </row>
    <row r="7959" spans="18:19" x14ac:dyDescent="0.25">
      <c r="R7959"/>
      <c r="S7959"/>
    </row>
    <row r="7960" spans="18:19" x14ac:dyDescent="0.25">
      <c r="R7960"/>
      <c r="S7960"/>
    </row>
    <row r="7961" spans="18:19" x14ac:dyDescent="0.25">
      <c r="R7961"/>
      <c r="S7961"/>
    </row>
    <row r="7962" spans="18:19" x14ac:dyDescent="0.25">
      <c r="R7962"/>
      <c r="S7962"/>
    </row>
    <row r="7963" spans="18:19" x14ac:dyDescent="0.25">
      <c r="R7963"/>
      <c r="S7963"/>
    </row>
    <row r="7964" spans="18:19" x14ac:dyDescent="0.25">
      <c r="R7964"/>
      <c r="S7964"/>
    </row>
    <row r="7965" spans="18:19" x14ac:dyDescent="0.25">
      <c r="R7965"/>
      <c r="S7965"/>
    </row>
    <row r="7966" spans="18:19" x14ac:dyDescent="0.25">
      <c r="R7966"/>
      <c r="S7966"/>
    </row>
    <row r="7967" spans="18:19" x14ac:dyDescent="0.25">
      <c r="R7967"/>
      <c r="S7967"/>
    </row>
    <row r="7968" spans="18:19" x14ac:dyDescent="0.25">
      <c r="R7968"/>
      <c r="S7968"/>
    </row>
    <row r="7969" spans="18:19" x14ac:dyDescent="0.25">
      <c r="R7969"/>
      <c r="S7969"/>
    </row>
    <row r="7970" spans="18:19" x14ac:dyDescent="0.25">
      <c r="R7970"/>
      <c r="S7970"/>
    </row>
    <row r="7971" spans="18:19" x14ac:dyDescent="0.25">
      <c r="R7971"/>
      <c r="S7971"/>
    </row>
    <row r="7972" spans="18:19" x14ac:dyDescent="0.25">
      <c r="R7972"/>
      <c r="S7972"/>
    </row>
    <row r="7973" spans="18:19" x14ac:dyDescent="0.25">
      <c r="R7973"/>
      <c r="S7973"/>
    </row>
    <row r="7974" spans="18:19" x14ac:dyDescent="0.25">
      <c r="R7974"/>
      <c r="S7974"/>
    </row>
    <row r="7975" spans="18:19" x14ac:dyDescent="0.25">
      <c r="R7975"/>
      <c r="S7975"/>
    </row>
    <row r="7976" spans="18:19" x14ac:dyDescent="0.25">
      <c r="R7976"/>
      <c r="S7976"/>
    </row>
    <row r="7977" spans="18:19" x14ac:dyDescent="0.25">
      <c r="R7977"/>
      <c r="S7977"/>
    </row>
    <row r="7978" spans="18:19" x14ac:dyDescent="0.25">
      <c r="R7978"/>
      <c r="S7978"/>
    </row>
    <row r="7979" spans="18:19" x14ac:dyDescent="0.25">
      <c r="R7979"/>
      <c r="S7979"/>
    </row>
    <row r="7980" spans="18:19" x14ac:dyDescent="0.25">
      <c r="R7980"/>
      <c r="S7980"/>
    </row>
    <row r="7981" spans="18:19" x14ac:dyDescent="0.25">
      <c r="R7981"/>
      <c r="S7981"/>
    </row>
    <row r="7982" spans="18:19" x14ac:dyDescent="0.25">
      <c r="R7982"/>
      <c r="S7982"/>
    </row>
    <row r="7983" spans="18:19" x14ac:dyDescent="0.25">
      <c r="R7983"/>
      <c r="S7983"/>
    </row>
    <row r="7984" spans="18:19" x14ac:dyDescent="0.25">
      <c r="R7984"/>
      <c r="S7984"/>
    </row>
    <row r="7985" spans="18:19" x14ac:dyDescent="0.25">
      <c r="R7985"/>
      <c r="S7985"/>
    </row>
    <row r="7986" spans="18:19" x14ac:dyDescent="0.25">
      <c r="R7986"/>
      <c r="S7986"/>
    </row>
    <row r="7987" spans="18:19" x14ac:dyDescent="0.25">
      <c r="R7987"/>
      <c r="S7987"/>
    </row>
    <row r="7988" spans="18:19" x14ac:dyDescent="0.25">
      <c r="R7988"/>
      <c r="S7988"/>
    </row>
    <row r="7989" spans="18:19" x14ac:dyDescent="0.25">
      <c r="R7989"/>
      <c r="S7989"/>
    </row>
    <row r="7990" spans="18:19" x14ac:dyDescent="0.25">
      <c r="R7990"/>
      <c r="S7990"/>
    </row>
    <row r="7991" spans="18:19" x14ac:dyDescent="0.25">
      <c r="R7991"/>
      <c r="S7991"/>
    </row>
    <row r="7992" spans="18:19" x14ac:dyDescent="0.25">
      <c r="R7992"/>
      <c r="S7992"/>
    </row>
    <row r="7993" spans="18:19" x14ac:dyDescent="0.25">
      <c r="R7993"/>
      <c r="S7993"/>
    </row>
    <row r="7994" spans="18:19" x14ac:dyDescent="0.25">
      <c r="R7994"/>
      <c r="S7994"/>
    </row>
    <row r="7995" spans="18:19" x14ac:dyDescent="0.25">
      <c r="R7995"/>
      <c r="S7995"/>
    </row>
    <row r="7996" spans="18:19" x14ac:dyDescent="0.25">
      <c r="R7996"/>
      <c r="S7996"/>
    </row>
    <row r="7997" spans="18:19" x14ac:dyDescent="0.25">
      <c r="R7997"/>
      <c r="S7997"/>
    </row>
    <row r="7998" spans="18:19" x14ac:dyDescent="0.25">
      <c r="R7998"/>
      <c r="S7998"/>
    </row>
    <row r="7999" spans="18:19" x14ac:dyDescent="0.25">
      <c r="R7999"/>
      <c r="S7999"/>
    </row>
    <row r="8000" spans="18:19" x14ac:dyDescent="0.25">
      <c r="R8000"/>
      <c r="S8000"/>
    </row>
    <row r="8001" spans="18:19" x14ac:dyDescent="0.25">
      <c r="R8001"/>
      <c r="S8001"/>
    </row>
    <row r="8002" spans="18:19" x14ac:dyDescent="0.25">
      <c r="R8002"/>
      <c r="S8002"/>
    </row>
    <row r="8003" spans="18:19" x14ac:dyDescent="0.25">
      <c r="R8003"/>
      <c r="S8003"/>
    </row>
    <row r="8004" spans="18:19" x14ac:dyDescent="0.25">
      <c r="R8004"/>
      <c r="S8004"/>
    </row>
    <row r="8005" spans="18:19" x14ac:dyDescent="0.25">
      <c r="R8005"/>
      <c r="S8005"/>
    </row>
    <row r="8006" spans="18:19" x14ac:dyDescent="0.25">
      <c r="R8006"/>
      <c r="S8006"/>
    </row>
    <row r="8007" spans="18:19" x14ac:dyDescent="0.25">
      <c r="R8007"/>
      <c r="S8007"/>
    </row>
    <row r="8008" spans="18:19" x14ac:dyDescent="0.25">
      <c r="R8008"/>
      <c r="S8008"/>
    </row>
    <row r="8009" spans="18:19" x14ac:dyDescent="0.25">
      <c r="R8009"/>
      <c r="S8009"/>
    </row>
    <row r="8010" spans="18:19" x14ac:dyDescent="0.25">
      <c r="R8010"/>
      <c r="S8010"/>
    </row>
    <row r="8011" spans="18:19" x14ac:dyDescent="0.25">
      <c r="R8011"/>
      <c r="S8011"/>
    </row>
    <row r="8012" spans="18:19" x14ac:dyDescent="0.25">
      <c r="R8012"/>
      <c r="S8012"/>
    </row>
    <row r="8013" spans="18:19" x14ac:dyDescent="0.25">
      <c r="R8013"/>
      <c r="S8013"/>
    </row>
    <row r="8014" spans="18:19" x14ac:dyDescent="0.25">
      <c r="R8014"/>
      <c r="S8014"/>
    </row>
    <row r="8015" spans="18:19" x14ac:dyDescent="0.25">
      <c r="R8015"/>
      <c r="S8015"/>
    </row>
    <row r="8016" spans="18:19" x14ac:dyDescent="0.25">
      <c r="R8016"/>
      <c r="S8016"/>
    </row>
    <row r="8017" spans="18:19" x14ac:dyDescent="0.25">
      <c r="R8017"/>
      <c r="S8017"/>
    </row>
    <row r="8018" spans="18:19" x14ac:dyDescent="0.25">
      <c r="R8018"/>
      <c r="S8018"/>
    </row>
    <row r="8019" spans="18:19" x14ac:dyDescent="0.25">
      <c r="R8019"/>
      <c r="S8019"/>
    </row>
    <row r="8020" spans="18:19" x14ac:dyDescent="0.25">
      <c r="R8020"/>
      <c r="S8020"/>
    </row>
    <row r="8021" spans="18:19" x14ac:dyDescent="0.25">
      <c r="R8021"/>
      <c r="S8021"/>
    </row>
    <row r="8022" spans="18:19" x14ac:dyDescent="0.25">
      <c r="R8022"/>
      <c r="S8022"/>
    </row>
    <row r="8023" spans="18:19" x14ac:dyDescent="0.25">
      <c r="R8023"/>
      <c r="S8023"/>
    </row>
    <row r="8024" spans="18:19" x14ac:dyDescent="0.25">
      <c r="R8024"/>
      <c r="S8024"/>
    </row>
    <row r="8025" spans="18:19" x14ac:dyDescent="0.25">
      <c r="R8025"/>
      <c r="S8025"/>
    </row>
    <row r="8026" spans="18:19" x14ac:dyDescent="0.25">
      <c r="R8026"/>
      <c r="S8026"/>
    </row>
    <row r="8027" spans="18:19" x14ac:dyDescent="0.25">
      <c r="R8027"/>
      <c r="S8027"/>
    </row>
    <row r="8028" spans="18:19" x14ac:dyDescent="0.25">
      <c r="R8028"/>
      <c r="S8028"/>
    </row>
    <row r="8029" spans="18:19" x14ac:dyDescent="0.25">
      <c r="R8029"/>
      <c r="S8029"/>
    </row>
    <row r="8030" spans="18:19" x14ac:dyDescent="0.25">
      <c r="R8030"/>
      <c r="S8030"/>
    </row>
    <row r="8031" spans="18:19" x14ac:dyDescent="0.25">
      <c r="R8031"/>
      <c r="S8031"/>
    </row>
    <row r="8032" spans="18:19" x14ac:dyDescent="0.25">
      <c r="R8032"/>
      <c r="S8032"/>
    </row>
    <row r="8033" spans="18:19" x14ac:dyDescent="0.25">
      <c r="R8033"/>
      <c r="S8033"/>
    </row>
    <row r="8034" spans="18:19" x14ac:dyDescent="0.25">
      <c r="R8034"/>
      <c r="S8034"/>
    </row>
    <row r="8035" spans="18:19" x14ac:dyDescent="0.25">
      <c r="R8035"/>
      <c r="S8035"/>
    </row>
    <row r="8036" spans="18:19" x14ac:dyDescent="0.25">
      <c r="R8036"/>
      <c r="S8036"/>
    </row>
    <row r="8037" spans="18:19" x14ac:dyDescent="0.25">
      <c r="R8037"/>
      <c r="S8037"/>
    </row>
    <row r="8038" spans="18:19" x14ac:dyDescent="0.25">
      <c r="R8038"/>
      <c r="S8038"/>
    </row>
    <row r="8039" spans="18:19" x14ac:dyDescent="0.25">
      <c r="R8039"/>
      <c r="S8039"/>
    </row>
    <row r="8040" spans="18:19" x14ac:dyDescent="0.25">
      <c r="R8040"/>
      <c r="S8040"/>
    </row>
    <row r="8041" spans="18:19" x14ac:dyDescent="0.25">
      <c r="R8041"/>
      <c r="S8041"/>
    </row>
    <row r="8042" spans="18:19" x14ac:dyDescent="0.25">
      <c r="R8042"/>
      <c r="S8042"/>
    </row>
    <row r="8043" spans="18:19" x14ac:dyDescent="0.25">
      <c r="R8043"/>
      <c r="S8043"/>
    </row>
    <row r="8044" spans="18:19" x14ac:dyDescent="0.25">
      <c r="R8044"/>
      <c r="S8044"/>
    </row>
    <row r="8045" spans="18:19" x14ac:dyDescent="0.25">
      <c r="R8045"/>
      <c r="S8045"/>
    </row>
    <row r="8046" spans="18:19" x14ac:dyDescent="0.25">
      <c r="R8046"/>
      <c r="S8046"/>
    </row>
    <row r="8047" spans="18:19" x14ac:dyDescent="0.25">
      <c r="R8047"/>
      <c r="S8047"/>
    </row>
    <row r="8048" spans="18:19" x14ac:dyDescent="0.25">
      <c r="R8048"/>
      <c r="S8048"/>
    </row>
    <row r="8049" spans="18:19" x14ac:dyDescent="0.25">
      <c r="R8049"/>
      <c r="S8049"/>
    </row>
    <row r="8050" spans="18:19" x14ac:dyDescent="0.25">
      <c r="R8050"/>
      <c r="S8050"/>
    </row>
    <row r="8051" spans="18:19" x14ac:dyDescent="0.25">
      <c r="R8051"/>
      <c r="S8051"/>
    </row>
    <row r="8052" spans="18:19" x14ac:dyDescent="0.25">
      <c r="R8052"/>
      <c r="S8052"/>
    </row>
    <row r="8053" spans="18:19" x14ac:dyDescent="0.25">
      <c r="R8053"/>
      <c r="S8053"/>
    </row>
    <row r="8054" spans="18:19" x14ac:dyDescent="0.25">
      <c r="R8054"/>
      <c r="S8054"/>
    </row>
    <row r="8055" spans="18:19" x14ac:dyDescent="0.25">
      <c r="R8055"/>
      <c r="S8055"/>
    </row>
    <row r="8056" spans="18:19" x14ac:dyDescent="0.25">
      <c r="R8056"/>
      <c r="S8056"/>
    </row>
    <row r="8057" spans="18:19" x14ac:dyDescent="0.25">
      <c r="R8057"/>
      <c r="S8057"/>
    </row>
    <row r="8058" spans="18:19" x14ac:dyDescent="0.25">
      <c r="R8058"/>
      <c r="S8058"/>
    </row>
    <row r="8059" spans="18:19" x14ac:dyDescent="0.25">
      <c r="R8059"/>
      <c r="S8059"/>
    </row>
    <row r="8060" spans="18:19" x14ac:dyDescent="0.25">
      <c r="R8060"/>
      <c r="S8060"/>
    </row>
    <row r="8061" spans="18:19" x14ac:dyDescent="0.25">
      <c r="R8061"/>
      <c r="S8061"/>
    </row>
    <row r="8062" spans="18:19" x14ac:dyDescent="0.25">
      <c r="R8062"/>
      <c r="S8062"/>
    </row>
    <row r="8063" spans="18:19" x14ac:dyDescent="0.25">
      <c r="R8063"/>
      <c r="S8063"/>
    </row>
    <row r="8064" spans="18:19" x14ac:dyDescent="0.25">
      <c r="R8064"/>
      <c r="S8064"/>
    </row>
    <row r="8065" spans="18:19" x14ac:dyDescent="0.25">
      <c r="R8065"/>
      <c r="S8065"/>
    </row>
    <row r="8066" spans="18:19" x14ac:dyDescent="0.25">
      <c r="R8066"/>
      <c r="S8066"/>
    </row>
    <row r="8067" spans="18:19" x14ac:dyDescent="0.25">
      <c r="R8067"/>
      <c r="S8067"/>
    </row>
    <row r="8068" spans="18:19" x14ac:dyDescent="0.25">
      <c r="R8068"/>
      <c r="S8068"/>
    </row>
    <row r="8069" spans="18:19" x14ac:dyDescent="0.25">
      <c r="R8069"/>
      <c r="S8069"/>
    </row>
    <row r="8070" spans="18:19" x14ac:dyDescent="0.25">
      <c r="R8070"/>
      <c r="S8070"/>
    </row>
    <row r="8071" spans="18:19" x14ac:dyDescent="0.25">
      <c r="R8071"/>
      <c r="S8071"/>
    </row>
    <row r="8072" spans="18:19" x14ac:dyDescent="0.25">
      <c r="R8072"/>
      <c r="S8072"/>
    </row>
    <row r="8073" spans="18:19" x14ac:dyDescent="0.25">
      <c r="R8073"/>
      <c r="S8073"/>
    </row>
    <row r="8074" spans="18:19" x14ac:dyDescent="0.25">
      <c r="R8074"/>
      <c r="S8074"/>
    </row>
    <row r="8075" spans="18:19" x14ac:dyDescent="0.25">
      <c r="R8075"/>
      <c r="S8075"/>
    </row>
    <row r="8076" spans="18:19" x14ac:dyDescent="0.25">
      <c r="R8076"/>
      <c r="S8076"/>
    </row>
    <row r="8077" spans="18:19" x14ac:dyDescent="0.25">
      <c r="R8077"/>
      <c r="S8077"/>
    </row>
    <row r="8078" spans="18:19" x14ac:dyDescent="0.25">
      <c r="R8078"/>
      <c r="S8078"/>
    </row>
    <row r="8079" spans="18:19" x14ac:dyDescent="0.25">
      <c r="R8079"/>
      <c r="S8079"/>
    </row>
    <row r="8080" spans="18:19" x14ac:dyDescent="0.25">
      <c r="R8080"/>
      <c r="S8080"/>
    </row>
    <row r="8081" spans="18:19" x14ac:dyDescent="0.25">
      <c r="R8081"/>
      <c r="S8081"/>
    </row>
    <row r="8082" spans="18:19" x14ac:dyDescent="0.25">
      <c r="R8082"/>
      <c r="S8082"/>
    </row>
    <row r="8083" spans="18:19" x14ac:dyDescent="0.25">
      <c r="R8083"/>
      <c r="S8083"/>
    </row>
    <row r="8084" spans="18:19" x14ac:dyDescent="0.25">
      <c r="R8084"/>
      <c r="S8084"/>
    </row>
    <row r="8085" spans="18:19" x14ac:dyDescent="0.25">
      <c r="R8085"/>
      <c r="S8085"/>
    </row>
    <row r="8086" spans="18:19" x14ac:dyDescent="0.25">
      <c r="R8086"/>
      <c r="S8086"/>
    </row>
    <row r="8087" spans="18:19" x14ac:dyDescent="0.25">
      <c r="R8087"/>
      <c r="S8087"/>
    </row>
    <row r="8088" spans="18:19" x14ac:dyDescent="0.25">
      <c r="R8088"/>
      <c r="S8088"/>
    </row>
    <row r="8089" spans="18:19" x14ac:dyDescent="0.25">
      <c r="R8089"/>
      <c r="S8089"/>
    </row>
    <row r="8090" spans="18:19" x14ac:dyDescent="0.25">
      <c r="R8090"/>
      <c r="S8090"/>
    </row>
    <row r="8091" spans="18:19" x14ac:dyDescent="0.25">
      <c r="R8091"/>
      <c r="S8091"/>
    </row>
    <row r="8092" spans="18:19" x14ac:dyDescent="0.25">
      <c r="R8092"/>
      <c r="S8092"/>
    </row>
    <row r="8093" spans="18:19" x14ac:dyDescent="0.25">
      <c r="R8093"/>
      <c r="S8093"/>
    </row>
    <row r="8094" spans="18:19" x14ac:dyDescent="0.25">
      <c r="R8094"/>
      <c r="S8094"/>
    </row>
    <row r="8095" spans="18:19" x14ac:dyDescent="0.25">
      <c r="R8095"/>
      <c r="S8095"/>
    </row>
    <row r="8096" spans="18:19" x14ac:dyDescent="0.25">
      <c r="R8096"/>
      <c r="S8096"/>
    </row>
    <row r="8097" spans="18:19" x14ac:dyDescent="0.25">
      <c r="R8097"/>
      <c r="S8097"/>
    </row>
    <row r="8098" spans="18:19" x14ac:dyDescent="0.25">
      <c r="R8098"/>
      <c r="S8098"/>
    </row>
    <row r="8099" spans="18:19" x14ac:dyDescent="0.25">
      <c r="R8099"/>
      <c r="S8099"/>
    </row>
    <row r="8100" spans="18:19" x14ac:dyDescent="0.25">
      <c r="R8100"/>
      <c r="S8100"/>
    </row>
    <row r="8101" spans="18:19" x14ac:dyDescent="0.25">
      <c r="R8101"/>
      <c r="S8101"/>
    </row>
    <row r="8102" spans="18:19" x14ac:dyDescent="0.25">
      <c r="R8102"/>
      <c r="S8102"/>
    </row>
    <row r="8103" spans="18:19" x14ac:dyDescent="0.25">
      <c r="R8103"/>
      <c r="S8103"/>
    </row>
    <row r="8104" spans="18:19" x14ac:dyDescent="0.25">
      <c r="R8104"/>
      <c r="S8104"/>
    </row>
    <row r="8105" spans="18:19" x14ac:dyDescent="0.25">
      <c r="R8105"/>
      <c r="S8105"/>
    </row>
    <row r="8106" spans="18:19" x14ac:dyDescent="0.25">
      <c r="R8106"/>
      <c r="S8106"/>
    </row>
    <row r="8107" spans="18:19" x14ac:dyDescent="0.25">
      <c r="R8107"/>
      <c r="S8107"/>
    </row>
    <row r="8108" spans="18:19" x14ac:dyDescent="0.25">
      <c r="R8108"/>
      <c r="S8108"/>
    </row>
    <row r="8109" spans="18:19" x14ac:dyDescent="0.25">
      <c r="R8109"/>
      <c r="S8109"/>
    </row>
    <row r="8110" spans="18:19" x14ac:dyDescent="0.25">
      <c r="R8110"/>
      <c r="S8110"/>
    </row>
    <row r="8111" spans="18:19" x14ac:dyDescent="0.25">
      <c r="R8111"/>
      <c r="S8111"/>
    </row>
    <row r="8112" spans="18:19" x14ac:dyDescent="0.25">
      <c r="R8112"/>
      <c r="S8112"/>
    </row>
    <row r="8113" spans="18:19" x14ac:dyDescent="0.25">
      <c r="R8113"/>
      <c r="S8113"/>
    </row>
    <row r="8114" spans="18:19" x14ac:dyDescent="0.25">
      <c r="R8114"/>
      <c r="S8114"/>
    </row>
    <row r="8115" spans="18:19" x14ac:dyDescent="0.25">
      <c r="R8115"/>
      <c r="S8115"/>
    </row>
    <row r="8116" spans="18:19" x14ac:dyDescent="0.25">
      <c r="R8116"/>
      <c r="S8116"/>
    </row>
    <row r="8117" spans="18:19" x14ac:dyDescent="0.25">
      <c r="R8117"/>
      <c r="S8117"/>
    </row>
    <row r="8118" spans="18:19" x14ac:dyDescent="0.25">
      <c r="R8118"/>
      <c r="S8118"/>
    </row>
    <row r="8119" spans="18:19" x14ac:dyDescent="0.25">
      <c r="R8119"/>
      <c r="S8119"/>
    </row>
    <row r="8120" spans="18:19" x14ac:dyDescent="0.25">
      <c r="R8120"/>
      <c r="S8120"/>
    </row>
    <row r="8121" spans="18:19" x14ac:dyDescent="0.25">
      <c r="R8121"/>
      <c r="S8121"/>
    </row>
    <row r="8122" spans="18:19" x14ac:dyDescent="0.25">
      <c r="R8122"/>
      <c r="S8122"/>
    </row>
    <row r="8123" spans="18:19" x14ac:dyDescent="0.25">
      <c r="R8123"/>
      <c r="S8123"/>
    </row>
    <row r="8124" spans="18:19" x14ac:dyDescent="0.25">
      <c r="R8124"/>
      <c r="S8124"/>
    </row>
    <row r="8125" spans="18:19" x14ac:dyDescent="0.25">
      <c r="R8125"/>
      <c r="S8125"/>
    </row>
    <row r="8126" spans="18:19" x14ac:dyDescent="0.25">
      <c r="R8126"/>
      <c r="S8126"/>
    </row>
    <row r="8127" spans="18:19" x14ac:dyDescent="0.25">
      <c r="R8127"/>
      <c r="S8127"/>
    </row>
    <row r="8128" spans="18:19" x14ac:dyDescent="0.25">
      <c r="R8128"/>
      <c r="S8128"/>
    </row>
    <row r="8129" spans="18:19" x14ac:dyDescent="0.25">
      <c r="R8129"/>
      <c r="S8129"/>
    </row>
    <row r="8130" spans="18:19" x14ac:dyDescent="0.25">
      <c r="R8130"/>
      <c r="S8130"/>
    </row>
    <row r="8131" spans="18:19" x14ac:dyDescent="0.25">
      <c r="R8131"/>
      <c r="S8131"/>
    </row>
    <row r="8132" spans="18:19" x14ac:dyDescent="0.25">
      <c r="R8132"/>
      <c r="S8132"/>
    </row>
    <row r="8133" spans="18:19" x14ac:dyDescent="0.25">
      <c r="R8133"/>
      <c r="S8133"/>
    </row>
    <row r="8134" spans="18:19" x14ac:dyDescent="0.25">
      <c r="R8134"/>
      <c r="S8134"/>
    </row>
    <row r="8135" spans="18:19" x14ac:dyDescent="0.25">
      <c r="R8135"/>
      <c r="S8135"/>
    </row>
    <row r="8136" spans="18:19" x14ac:dyDescent="0.25">
      <c r="R8136"/>
      <c r="S8136"/>
    </row>
    <row r="8137" spans="18:19" x14ac:dyDescent="0.25">
      <c r="R8137"/>
      <c r="S8137"/>
    </row>
    <row r="8138" spans="18:19" x14ac:dyDescent="0.25">
      <c r="R8138"/>
      <c r="S8138"/>
    </row>
    <row r="8139" spans="18:19" x14ac:dyDescent="0.25">
      <c r="R8139"/>
      <c r="S8139"/>
    </row>
    <row r="8140" spans="18:19" x14ac:dyDescent="0.25">
      <c r="R8140"/>
      <c r="S8140"/>
    </row>
    <row r="8141" spans="18:19" x14ac:dyDescent="0.25">
      <c r="R8141"/>
      <c r="S8141"/>
    </row>
    <row r="8142" spans="18:19" x14ac:dyDescent="0.25">
      <c r="R8142"/>
      <c r="S8142"/>
    </row>
    <row r="8143" spans="18:19" x14ac:dyDescent="0.25">
      <c r="R8143"/>
      <c r="S8143"/>
    </row>
    <row r="8144" spans="18:19" x14ac:dyDescent="0.25">
      <c r="R8144"/>
      <c r="S8144"/>
    </row>
    <row r="8145" spans="18:19" x14ac:dyDescent="0.25">
      <c r="R8145"/>
      <c r="S8145"/>
    </row>
    <row r="8146" spans="18:19" x14ac:dyDescent="0.25">
      <c r="R8146"/>
      <c r="S8146"/>
    </row>
    <row r="8147" spans="18:19" x14ac:dyDescent="0.25">
      <c r="R8147"/>
      <c r="S8147"/>
    </row>
    <row r="8148" spans="18:19" x14ac:dyDescent="0.25">
      <c r="R8148"/>
      <c r="S8148"/>
    </row>
    <row r="8149" spans="18:19" x14ac:dyDescent="0.25">
      <c r="R8149"/>
      <c r="S8149"/>
    </row>
    <row r="8150" spans="18:19" x14ac:dyDescent="0.25">
      <c r="R8150"/>
      <c r="S8150"/>
    </row>
    <row r="8151" spans="18:19" x14ac:dyDescent="0.25">
      <c r="R8151"/>
      <c r="S8151"/>
    </row>
    <row r="8152" spans="18:19" x14ac:dyDescent="0.25">
      <c r="R8152"/>
      <c r="S8152"/>
    </row>
    <row r="8153" spans="18:19" x14ac:dyDescent="0.25">
      <c r="R8153"/>
      <c r="S8153"/>
    </row>
    <row r="8154" spans="18:19" x14ac:dyDescent="0.25">
      <c r="R8154"/>
      <c r="S8154"/>
    </row>
    <row r="8155" spans="18:19" x14ac:dyDescent="0.25">
      <c r="R8155"/>
      <c r="S8155"/>
    </row>
    <row r="8156" spans="18:19" x14ac:dyDescent="0.25">
      <c r="R8156"/>
      <c r="S8156"/>
    </row>
    <row r="8157" spans="18:19" x14ac:dyDescent="0.25">
      <c r="R8157"/>
      <c r="S8157"/>
    </row>
    <row r="8158" spans="18:19" x14ac:dyDescent="0.25">
      <c r="R8158"/>
      <c r="S8158"/>
    </row>
    <row r="8159" spans="18:19" x14ac:dyDescent="0.25">
      <c r="R8159"/>
      <c r="S8159"/>
    </row>
    <row r="8160" spans="18:19" x14ac:dyDescent="0.25">
      <c r="R8160"/>
      <c r="S8160"/>
    </row>
    <row r="8161" spans="18:19" x14ac:dyDescent="0.25">
      <c r="R8161"/>
      <c r="S8161"/>
    </row>
    <row r="8162" spans="18:19" x14ac:dyDescent="0.25">
      <c r="R8162"/>
      <c r="S8162"/>
    </row>
    <row r="8163" spans="18:19" x14ac:dyDescent="0.25">
      <c r="R8163"/>
      <c r="S8163"/>
    </row>
    <row r="8164" spans="18:19" x14ac:dyDescent="0.25">
      <c r="R8164"/>
      <c r="S8164"/>
    </row>
    <row r="8165" spans="18:19" x14ac:dyDescent="0.25">
      <c r="R8165"/>
      <c r="S8165"/>
    </row>
    <row r="8166" spans="18:19" x14ac:dyDescent="0.25">
      <c r="R8166"/>
      <c r="S8166"/>
    </row>
    <row r="8167" spans="18:19" x14ac:dyDescent="0.25">
      <c r="R8167"/>
      <c r="S8167"/>
    </row>
    <row r="8168" spans="18:19" x14ac:dyDescent="0.25">
      <c r="R8168"/>
      <c r="S8168"/>
    </row>
    <row r="8169" spans="18:19" x14ac:dyDescent="0.25">
      <c r="R8169"/>
      <c r="S8169"/>
    </row>
    <row r="8170" spans="18:19" x14ac:dyDescent="0.25">
      <c r="R8170"/>
      <c r="S8170"/>
    </row>
    <row r="8171" spans="18:19" x14ac:dyDescent="0.25">
      <c r="R8171"/>
      <c r="S8171"/>
    </row>
    <row r="8172" spans="18:19" x14ac:dyDescent="0.25">
      <c r="R8172"/>
      <c r="S8172"/>
    </row>
    <row r="8173" spans="18:19" x14ac:dyDescent="0.25">
      <c r="R8173"/>
      <c r="S8173"/>
    </row>
    <row r="8174" spans="18:19" x14ac:dyDescent="0.25">
      <c r="R8174"/>
      <c r="S8174"/>
    </row>
    <row r="8175" spans="18:19" x14ac:dyDescent="0.25">
      <c r="R8175"/>
      <c r="S8175"/>
    </row>
    <row r="8176" spans="18:19" x14ac:dyDescent="0.25">
      <c r="R8176"/>
      <c r="S8176"/>
    </row>
    <row r="8177" spans="18:19" x14ac:dyDescent="0.25">
      <c r="R8177"/>
      <c r="S8177"/>
    </row>
    <row r="8178" spans="18:19" x14ac:dyDescent="0.25">
      <c r="R8178"/>
      <c r="S8178"/>
    </row>
    <row r="8179" spans="18:19" x14ac:dyDescent="0.25">
      <c r="R8179"/>
      <c r="S8179"/>
    </row>
    <row r="8180" spans="18:19" x14ac:dyDescent="0.25">
      <c r="R8180"/>
      <c r="S8180"/>
    </row>
    <row r="8181" spans="18:19" x14ac:dyDescent="0.25">
      <c r="R8181"/>
      <c r="S8181"/>
    </row>
    <row r="8182" spans="18:19" x14ac:dyDescent="0.25">
      <c r="R8182"/>
      <c r="S8182"/>
    </row>
    <row r="8183" spans="18:19" x14ac:dyDescent="0.25">
      <c r="R8183"/>
      <c r="S8183"/>
    </row>
    <row r="8184" spans="18:19" x14ac:dyDescent="0.25">
      <c r="R8184"/>
      <c r="S8184"/>
    </row>
    <row r="8185" spans="18:19" x14ac:dyDescent="0.25">
      <c r="R8185"/>
      <c r="S8185"/>
    </row>
    <row r="8186" spans="18:19" x14ac:dyDescent="0.25">
      <c r="R8186"/>
      <c r="S8186"/>
    </row>
    <row r="8187" spans="18:19" x14ac:dyDescent="0.25">
      <c r="R8187"/>
      <c r="S8187"/>
    </row>
    <row r="8188" spans="18:19" x14ac:dyDescent="0.25">
      <c r="R8188"/>
      <c r="S8188"/>
    </row>
    <row r="8189" spans="18:19" x14ac:dyDescent="0.25">
      <c r="R8189"/>
      <c r="S8189"/>
    </row>
    <row r="8190" spans="18:19" x14ac:dyDescent="0.25">
      <c r="R8190"/>
      <c r="S8190"/>
    </row>
    <row r="8191" spans="18:19" x14ac:dyDescent="0.25">
      <c r="R8191"/>
      <c r="S8191"/>
    </row>
    <row r="8192" spans="18:19" x14ac:dyDescent="0.25">
      <c r="R8192"/>
      <c r="S8192"/>
    </row>
    <row r="8193" spans="18:19" x14ac:dyDescent="0.25">
      <c r="R8193"/>
      <c r="S8193"/>
    </row>
    <row r="8194" spans="18:19" x14ac:dyDescent="0.25">
      <c r="R8194"/>
      <c r="S8194"/>
    </row>
    <row r="8195" spans="18:19" x14ac:dyDescent="0.25">
      <c r="R8195"/>
      <c r="S8195"/>
    </row>
    <row r="8196" spans="18:19" x14ac:dyDescent="0.25">
      <c r="R8196"/>
      <c r="S8196"/>
    </row>
    <row r="8197" spans="18:19" x14ac:dyDescent="0.25">
      <c r="R8197"/>
      <c r="S8197"/>
    </row>
    <row r="8198" spans="18:19" x14ac:dyDescent="0.25">
      <c r="R8198"/>
      <c r="S8198"/>
    </row>
    <row r="8199" spans="18:19" x14ac:dyDescent="0.25">
      <c r="R8199"/>
      <c r="S8199"/>
    </row>
    <row r="8200" spans="18:19" x14ac:dyDescent="0.25">
      <c r="R8200"/>
      <c r="S8200"/>
    </row>
    <row r="8201" spans="18:19" x14ac:dyDescent="0.25">
      <c r="R8201"/>
      <c r="S8201"/>
    </row>
    <row r="8202" spans="18:19" x14ac:dyDescent="0.25">
      <c r="R8202"/>
      <c r="S8202"/>
    </row>
    <row r="8203" spans="18:19" x14ac:dyDescent="0.25">
      <c r="R8203"/>
      <c r="S8203"/>
    </row>
    <row r="8204" spans="18:19" x14ac:dyDescent="0.25">
      <c r="R8204"/>
      <c r="S8204"/>
    </row>
    <row r="8205" spans="18:19" x14ac:dyDescent="0.25">
      <c r="R8205"/>
      <c r="S8205"/>
    </row>
    <row r="8206" spans="18:19" x14ac:dyDescent="0.25">
      <c r="R8206"/>
      <c r="S8206"/>
    </row>
    <row r="8207" spans="18:19" x14ac:dyDescent="0.25">
      <c r="R8207"/>
      <c r="S8207"/>
    </row>
    <row r="8208" spans="18:19" x14ac:dyDescent="0.25">
      <c r="R8208"/>
      <c r="S8208"/>
    </row>
    <row r="8209" spans="18:19" x14ac:dyDescent="0.25">
      <c r="R8209"/>
      <c r="S8209"/>
    </row>
    <row r="8210" spans="18:19" x14ac:dyDescent="0.25">
      <c r="R8210"/>
      <c r="S8210"/>
    </row>
    <row r="8211" spans="18:19" x14ac:dyDescent="0.25">
      <c r="R8211"/>
      <c r="S8211"/>
    </row>
    <row r="8212" spans="18:19" x14ac:dyDescent="0.25">
      <c r="R8212"/>
      <c r="S8212"/>
    </row>
    <row r="8213" spans="18:19" x14ac:dyDescent="0.25">
      <c r="R8213"/>
      <c r="S8213"/>
    </row>
    <row r="8214" spans="18:19" x14ac:dyDescent="0.25">
      <c r="R8214"/>
      <c r="S8214"/>
    </row>
    <row r="8215" spans="18:19" x14ac:dyDescent="0.25">
      <c r="R8215"/>
      <c r="S8215"/>
    </row>
    <row r="8216" spans="18:19" x14ac:dyDescent="0.25">
      <c r="R8216"/>
      <c r="S8216"/>
    </row>
    <row r="8217" spans="18:19" x14ac:dyDescent="0.25">
      <c r="R8217"/>
      <c r="S8217"/>
    </row>
    <row r="8218" spans="18:19" x14ac:dyDescent="0.25">
      <c r="R8218"/>
      <c r="S8218"/>
    </row>
    <row r="8219" spans="18:19" x14ac:dyDescent="0.25">
      <c r="R8219"/>
      <c r="S8219"/>
    </row>
    <row r="8220" spans="18:19" x14ac:dyDescent="0.25">
      <c r="R8220"/>
      <c r="S8220"/>
    </row>
    <row r="8221" spans="18:19" x14ac:dyDescent="0.25">
      <c r="R8221"/>
      <c r="S8221"/>
    </row>
    <row r="8222" spans="18:19" x14ac:dyDescent="0.25">
      <c r="R8222"/>
      <c r="S8222"/>
    </row>
    <row r="8223" spans="18:19" x14ac:dyDescent="0.25">
      <c r="R8223"/>
      <c r="S8223"/>
    </row>
    <row r="8224" spans="18:19" x14ac:dyDescent="0.25">
      <c r="R8224"/>
      <c r="S8224"/>
    </row>
    <row r="8225" spans="18:19" x14ac:dyDescent="0.25">
      <c r="R8225"/>
      <c r="S8225"/>
    </row>
    <row r="8226" spans="18:19" x14ac:dyDescent="0.25">
      <c r="R8226"/>
      <c r="S8226"/>
    </row>
    <row r="8227" spans="18:19" x14ac:dyDescent="0.25">
      <c r="R8227"/>
      <c r="S8227"/>
    </row>
    <row r="8228" spans="18:19" x14ac:dyDescent="0.25">
      <c r="R8228"/>
      <c r="S8228"/>
    </row>
    <row r="8229" spans="18:19" x14ac:dyDescent="0.25">
      <c r="R8229"/>
      <c r="S8229"/>
    </row>
    <row r="8230" spans="18:19" x14ac:dyDescent="0.25">
      <c r="R8230"/>
      <c r="S8230"/>
    </row>
    <row r="8231" spans="18:19" x14ac:dyDescent="0.25">
      <c r="R8231"/>
      <c r="S8231"/>
    </row>
    <row r="8232" spans="18:19" x14ac:dyDescent="0.25">
      <c r="R8232"/>
      <c r="S8232"/>
    </row>
    <row r="8233" spans="18:19" x14ac:dyDescent="0.25">
      <c r="R8233"/>
      <c r="S8233"/>
    </row>
    <row r="8234" spans="18:19" x14ac:dyDescent="0.25">
      <c r="R8234"/>
      <c r="S8234"/>
    </row>
    <row r="8235" spans="18:19" x14ac:dyDescent="0.25">
      <c r="R8235"/>
      <c r="S8235"/>
    </row>
    <row r="8236" spans="18:19" x14ac:dyDescent="0.25">
      <c r="R8236"/>
      <c r="S8236"/>
    </row>
    <row r="8237" spans="18:19" x14ac:dyDescent="0.25">
      <c r="R8237"/>
      <c r="S8237"/>
    </row>
    <row r="8238" spans="18:19" x14ac:dyDescent="0.25">
      <c r="R8238"/>
      <c r="S8238"/>
    </row>
    <row r="8239" spans="18:19" x14ac:dyDescent="0.25">
      <c r="R8239"/>
      <c r="S8239"/>
    </row>
    <row r="8240" spans="18:19" x14ac:dyDescent="0.25">
      <c r="R8240"/>
      <c r="S8240"/>
    </row>
    <row r="8241" spans="18:19" x14ac:dyDescent="0.25">
      <c r="R8241"/>
      <c r="S8241"/>
    </row>
    <row r="8242" spans="18:19" x14ac:dyDescent="0.25">
      <c r="R8242"/>
      <c r="S8242"/>
    </row>
    <row r="8243" spans="18:19" x14ac:dyDescent="0.25">
      <c r="R8243"/>
      <c r="S8243"/>
    </row>
    <row r="8244" spans="18:19" x14ac:dyDescent="0.25">
      <c r="R8244"/>
      <c r="S8244"/>
    </row>
    <row r="8245" spans="18:19" x14ac:dyDescent="0.25">
      <c r="R8245"/>
      <c r="S8245"/>
    </row>
    <row r="8246" spans="18:19" x14ac:dyDescent="0.25">
      <c r="R8246"/>
      <c r="S8246"/>
    </row>
    <row r="8247" spans="18:19" x14ac:dyDescent="0.25">
      <c r="R8247"/>
      <c r="S8247"/>
    </row>
    <row r="8248" spans="18:19" x14ac:dyDescent="0.25">
      <c r="R8248"/>
      <c r="S8248"/>
    </row>
    <row r="8249" spans="18:19" x14ac:dyDescent="0.25">
      <c r="R8249"/>
      <c r="S8249"/>
    </row>
    <row r="8250" spans="18:19" x14ac:dyDescent="0.25">
      <c r="R8250"/>
      <c r="S8250"/>
    </row>
    <row r="8251" spans="18:19" x14ac:dyDescent="0.25">
      <c r="R8251"/>
      <c r="S8251"/>
    </row>
    <row r="8252" spans="18:19" x14ac:dyDescent="0.25">
      <c r="R8252"/>
      <c r="S8252"/>
    </row>
    <row r="8253" spans="18:19" x14ac:dyDescent="0.25">
      <c r="R8253"/>
      <c r="S8253"/>
    </row>
    <row r="8254" spans="18:19" x14ac:dyDescent="0.25">
      <c r="R8254"/>
      <c r="S8254"/>
    </row>
    <row r="8255" spans="18:19" x14ac:dyDescent="0.25">
      <c r="R8255"/>
      <c r="S8255"/>
    </row>
    <row r="8256" spans="18:19" x14ac:dyDescent="0.25">
      <c r="R8256"/>
      <c r="S8256"/>
    </row>
    <row r="8257" spans="18:19" x14ac:dyDescent="0.25">
      <c r="R8257"/>
      <c r="S8257"/>
    </row>
    <row r="8258" spans="18:19" x14ac:dyDescent="0.25">
      <c r="R8258"/>
      <c r="S8258"/>
    </row>
    <row r="8259" spans="18:19" x14ac:dyDescent="0.25">
      <c r="R8259"/>
      <c r="S8259"/>
    </row>
    <row r="8260" spans="18:19" x14ac:dyDescent="0.25">
      <c r="R8260"/>
      <c r="S8260"/>
    </row>
    <row r="8261" spans="18:19" x14ac:dyDescent="0.25">
      <c r="R8261"/>
      <c r="S8261"/>
    </row>
    <row r="8262" spans="18:19" x14ac:dyDescent="0.25">
      <c r="R8262"/>
      <c r="S8262"/>
    </row>
    <row r="8263" spans="18:19" x14ac:dyDescent="0.25">
      <c r="R8263"/>
      <c r="S8263"/>
    </row>
    <row r="8264" spans="18:19" x14ac:dyDescent="0.25">
      <c r="R8264"/>
      <c r="S8264"/>
    </row>
    <row r="8265" spans="18:19" x14ac:dyDescent="0.25">
      <c r="R8265"/>
      <c r="S8265"/>
    </row>
    <row r="8266" spans="18:19" x14ac:dyDescent="0.25">
      <c r="R8266"/>
      <c r="S8266"/>
    </row>
    <row r="8267" spans="18:19" x14ac:dyDescent="0.25">
      <c r="R8267"/>
      <c r="S8267"/>
    </row>
    <row r="8268" spans="18:19" x14ac:dyDescent="0.25">
      <c r="R8268"/>
      <c r="S8268"/>
    </row>
    <row r="8269" spans="18:19" x14ac:dyDescent="0.25">
      <c r="R8269"/>
      <c r="S8269"/>
    </row>
    <row r="8270" spans="18:19" x14ac:dyDescent="0.25">
      <c r="R8270"/>
      <c r="S8270"/>
    </row>
    <row r="8271" spans="18:19" x14ac:dyDescent="0.25">
      <c r="R8271"/>
      <c r="S8271"/>
    </row>
    <row r="8272" spans="18:19" x14ac:dyDescent="0.25">
      <c r="R8272"/>
      <c r="S8272"/>
    </row>
    <row r="8273" spans="18:19" x14ac:dyDescent="0.25">
      <c r="R8273"/>
      <c r="S8273"/>
    </row>
    <row r="8274" spans="18:19" x14ac:dyDescent="0.25">
      <c r="R8274"/>
      <c r="S8274"/>
    </row>
    <row r="8275" spans="18:19" x14ac:dyDescent="0.25">
      <c r="R8275"/>
      <c r="S8275"/>
    </row>
    <row r="8276" spans="18:19" x14ac:dyDescent="0.25">
      <c r="R8276"/>
      <c r="S8276"/>
    </row>
    <row r="8277" spans="18:19" x14ac:dyDescent="0.25">
      <c r="R8277"/>
      <c r="S8277"/>
    </row>
    <row r="8278" spans="18:19" x14ac:dyDescent="0.25">
      <c r="R8278"/>
      <c r="S8278"/>
    </row>
    <row r="8279" spans="18:19" x14ac:dyDescent="0.25">
      <c r="R8279"/>
      <c r="S8279"/>
    </row>
    <row r="8280" spans="18:19" x14ac:dyDescent="0.25">
      <c r="R8280"/>
      <c r="S8280"/>
    </row>
    <row r="8281" spans="18:19" x14ac:dyDescent="0.25">
      <c r="R8281"/>
      <c r="S8281"/>
    </row>
    <row r="8282" spans="18:19" x14ac:dyDescent="0.25">
      <c r="R8282"/>
      <c r="S8282"/>
    </row>
    <row r="8283" spans="18:19" x14ac:dyDescent="0.25">
      <c r="R8283"/>
      <c r="S8283"/>
    </row>
    <row r="8284" spans="18:19" x14ac:dyDescent="0.25">
      <c r="R8284"/>
      <c r="S8284"/>
    </row>
    <row r="8285" spans="18:19" x14ac:dyDescent="0.25">
      <c r="R8285"/>
      <c r="S8285"/>
    </row>
    <row r="8286" spans="18:19" x14ac:dyDescent="0.25">
      <c r="R8286"/>
      <c r="S8286"/>
    </row>
    <row r="8287" spans="18:19" x14ac:dyDescent="0.25">
      <c r="R8287"/>
      <c r="S8287"/>
    </row>
    <row r="8288" spans="18:19" x14ac:dyDescent="0.25">
      <c r="R8288"/>
      <c r="S8288"/>
    </row>
    <row r="8289" spans="18:19" x14ac:dyDescent="0.25">
      <c r="R8289"/>
      <c r="S8289"/>
    </row>
    <row r="8290" spans="18:19" x14ac:dyDescent="0.25">
      <c r="R8290"/>
      <c r="S8290"/>
    </row>
    <row r="8291" spans="18:19" x14ac:dyDescent="0.25">
      <c r="R8291"/>
      <c r="S8291"/>
    </row>
    <row r="8292" spans="18:19" x14ac:dyDescent="0.25">
      <c r="R8292"/>
      <c r="S8292"/>
    </row>
    <row r="8293" spans="18:19" x14ac:dyDescent="0.25">
      <c r="R8293"/>
      <c r="S8293"/>
    </row>
    <row r="8294" spans="18:19" x14ac:dyDescent="0.25">
      <c r="R8294"/>
      <c r="S8294"/>
    </row>
    <row r="8295" spans="18:19" x14ac:dyDescent="0.25">
      <c r="R8295"/>
      <c r="S8295"/>
    </row>
    <row r="8296" spans="18:19" x14ac:dyDescent="0.25">
      <c r="R8296"/>
      <c r="S8296"/>
    </row>
    <row r="8297" spans="18:19" x14ac:dyDescent="0.25">
      <c r="R8297"/>
      <c r="S8297"/>
    </row>
    <row r="8298" spans="18:19" x14ac:dyDescent="0.25">
      <c r="R8298"/>
      <c r="S8298"/>
    </row>
    <row r="8299" spans="18:19" x14ac:dyDescent="0.25">
      <c r="R8299"/>
      <c r="S8299"/>
    </row>
    <row r="8300" spans="18:19" x14ac:dyDescent="0.25">
      <c r="R8300"/>
      <c r="S8300"/>
    </row>
    <row r="8301" spans="18:19" x14ac:dyDescent="0.25">
      <c r="R8301"/>
      <c r="S8301"/>
    </row>
    <row r="8302" spans="18:19" x14ac:dyDescent="0.25">
      <c r="R8302"/>
      <c r="S8302"/>
    </row>
    <row r="8303" spans="18:19" x14ac:dyDescent="0.25">
      <c r="R8303"/>
      <c r="S8303"/>
    </row>
    <row r="8304" spans="18:19" x14ac:dyDescent="0.25">
      <c r="R8304"/>
      <c r="S8304"/>
    </row>
    <row r="8305" spans="18:19" x14ac:dyDescent="0.25">
      <c r="R8305"/>
      <c r="S8305"/>
    </row>
    <row r="8306" spans="18:19" x14ac:dyDescent="0.25">
      <c r="R8306"/>
      <c r="S8306"/>
    </row>
    <row r="8307" spans="18:19" x14ac:dyDescent="0.25">
      <c r="R8307"/>
      <c r="S8307"/>
    </row>
    <row r="8308" spans="18:19" x14ac:dyDescent="0.25">
      <c r="R8308"/>
      <c r="S8308"/>
    </row>
    <row r="8309" spans="18:19" x14ac:dyDescent="0.25">
      <c r="R8309"/>
      <c r="S8309"/>
    </row>
    <row r="8310" spans="18:19" x14ac:dyDescent="0.25">
      <c r="R8310"/>
      <c r="S8310"/>
    </row>
    <row r="8311" spans="18:19" x14ac:dyDescent="0.25">
      <c r="R8311"/>
      <c r="S8311"/>
    </row>
    <row r="8312" spans="18:19" x14ac:dyDescent="0.25">
      <c r="R8312"/>
      <c r="S8312"/>
    </row>
    <row r="8313" spans="18:19" x14ac:dyDescent="0.25">
      <c r="R8313"/>
      <c r="S8313"/>
    </row>
    <row r="8314" spans="18:19" x14ac:dyDescent="0.25">
      <c r="R8314"/>
      <c r="S8314"/>
    </row>
    <row r="8315" spans="18:19" x14ac:dyDescent="0.25">
      <c r="R8315"/>
      <c r="S8315"/>
    </row>
    <row r="8316" spans="18:19" x14ac:dyDescent="0.25">
      <c r="R8316"/>
      <c r="S8316"/>
    </row>
    <row r="8317" spans="18:19" x14ac:dyDescent="0.25">
      <c r="R8317"/>
      <c r="S8317"/>
    </row>
    <row r="8318" spans="18:19" x14ac:dyDescent="0.25">
      <c r="R8318"/>
      <c r="S8318"/>
    </row>
    <row r="8319" spans="18:19" x14ac:dyDescent="0.25">
      <c r="R8319"/>
      <c r="S8319"/>
    </row>
    <row r="8320" spans="18:19" x14ac:dyDescent="0.25">
      <c r="R8320"/>
      <c r="S8320"/>
    </row>
    <row r="8321" spans="18:19" x14ac:dyDescent="0.25">
      <c r="R8321"/>
      <c r="S8321"/>
    </row>
    <row r="8322" spans="18:19" x14ac:dyDescent="0.25">
      <c r="R8322"/>
      <c r="S8322"/>
    </row>
    <row r="8323" spans="18:19" x14ac:dyDescent="0.25">
      <c r="R8323"/>
      <c r="S8323"/>
    </row>
    <row r="8324" spans="18:19" x14ac:dyDescent="0.25">
      <c r="R8324"/>
      <c r="S8324"/>
    </row>
    <row r="8325" spans="18:19" x14ac:dyDescent="0.25">
      <c r="R8325"/>
      <c r="S8325"/>
    </row>
    <row r="8326" spans="18:19" x14ac:dyDescent="0.25">
      <c r="R8326"/>
      <c r="S8326"/>
    </row>
    <row r="8327" spans="18:19" x14ac:dyDescent="0.25">
      <c r="R8327"/>
      <c r="S8327"/>
    </row>
    <row r="8328" spans="18:19" x14ac:dyDescent="0.25">
      <c r="R8328"/>
      <c r="S8328"/>
    </row>
    <row r="8329" spans="18:19" x14ac:dyDescent="0.25">
      <c r="R8329"/>
      <c r="S8329"/>
    </row>
    <row r="8330" spans="18:19" x14ac:dyDescent="0.25">
      <c r="R8330"/>
      <c r="S8330"/>
    </row>
    <row r="8331" spans="18:19" x14ac:dyDescent="0.25">
      <c r="R8331"/>
      <c r="S8331"/>
    </row>
    <row r="8332" spans="18:19" x14ac:dyDescent="0.25">
      <c r="R8332"/>
      <c r="S8332"/>
    </row>
    <row r="8333" spans="18:19" x14ac:dyDescent="0.25">
      <c r="R8333"/>
      <c r="S8333"/>
    </row>
    <row r="8334" spans="18:19" x14ac:dyDescent="0.25">
      <c r="R8334"/>
      <c r="S8334"/>
    </row>
    <row r="8335" spans="18:19" x14ac:dyDescent="0.25">
      <c r="R8335"/>
      <c r="S8335"/>
    </row>
    <row r="8336" spans="18:19" x14ac:dyDescent="0.25">
      <c r="R8336"/>
      <c r="S8336"/>
    </row>
    <row r="8337" spans="18:19" x14ac:dyDescent="0.25">
      <c r="R8337"/>
      <c r="S8337"/>
    </row>
    <row r="8338" spans="18:19" x14ac:dyDescent="0.25">
      <c r="R8338"/>
      <c r="S8338"/>
    </row>
    <row r="8339" spans="18:19" x14ac:dyDescent="0.25">
      <c r="R8339"/>
      <c r="S8339"/>
    </row>
    <row r="8340" spans="18:19" x14ac:dyDescent="0.25">
      <c r="R8340"/>
      <c r="S8340"/>
    </row>
    <row r="8341" spans="18:19" x14ac:dyDescent="0.25">
      <c r="R8341"/>
      <c r="S8341"/>
    </row>
    <row r="8342" spans="18:19" x14ac:dyDescent="0.25">
      <c r="R8342"/>
      <c r="S8342"/>
    </row>
    <row r="8343" spans="18:19" x14ac:dyDescent="0.25">
      <c r="R8343"/>
      <c r="S8343"/>
    </row>
    <row r="8344" spans="18:19" x14ac:dyDescent="0.25">
      <c r="R8344"/>
      <c r="S8344"/>
    </row>
    <row r="8345" spans="18:19" x14ac:dyDescent="0.25">
      <c r="R8345"/>
      <c r="S8345"/>
    </row>
    <row r="8346" spans="18:19" x14ac:dyDescent="0.25">
      <c r="R8346"/>
      <c r="S8346"/>
    </row>
    <row r="8347" spans="18:19" x14ac:dyDescent="0.25">
      <c r="R8347"/>
      <c r="S8347"/>
    </row>
    <row r="8348" spans="18:19" x14ac:dyDescent="0.25">
      <c r="R8348"/>
      <c r="S8348"/>
    </row>
    <row r="8349" spans="18:19" x14ac:dyDescent="0.25">
      <c r="R8349"/>
      <c r="S8349"/>
    </row>
    <row r="8350" spans="18:19" x14ac:dyDescent="0.25">
      <c r="R8350"/>
      <c r="S8350"/>
    </row>
    <row r="8351" spans="18:19" x14ac:dyDescent="0.25">
      <c r="R8351"/>
      <c r="S8351"/>
    </row>
    <row r="8352" spans="18:19" x14ac:dyDescent="0.25">
      <c r="R8352"/>
      <c r="S8352"/>
    </row>
    <row r="8353" spans="18:19" x14ac:dyDescent="0.25">
      <c r="R8353"/>
      <c r="S8353"/>
    </row>
    <row r="8354" spans="18:19" x14ac:dyDescent="0.25">
      <c r="R8354"/>
      <c r="S8354"/>
    </row>
    <row r="8355" spans="18:19" x14ac:dyDescent="0.25">
      <c r="R8355"/>
      <c r="S8355"/>
    </row>
    <row r="8356" spans="18:19" x14ac:dyDescent="0.25">
      <c r="R8356"/>
      <c r="S8356"/>
    </row>
    <row r="8357" spans="18:19" x14ac:dyDescent="0.25">
      <c r="R8357"/>
      <c r="S8357"/>
    </row>
    <row r="8358" spans="18:19" x14ac:dyDescent="0.25">
      <c r="R8358"/>
      <c r="S8358"/>
    </row>
    <row r="8359" spans="18:19" x14ac:dyDescent="0.25">
      <c r="R8359"/>
      <c r="S8359"/>
    </row>
    <row r="8360" spans="18:19" x14ac:dyDescent="0.25">
      <c r="R8360"/>
      <c r="S8360"/>
    </row>
    <row r="8361" spans="18:19" x14ac:dyDescent="0.25">
      <c r="R8361"/>
      <c r="S8361"/>
    </row>
    <row r="8362" spans="18:19" x14ac:dyDescent="0.25">
      <c r="R8362"/>
      <c r="S8362"/>
    </row>
    <row r="8363" spans="18:19" x14ac:dyDescent="0.25">
      <c r="R8363"/>
      <c r="S8363"/>
    </row>
    <row r="8364" spans="18:19" x14ac:dyDescent="0.25">
      <c r="R8364"/>
      <c r="S8364"/>
    </row>
    <row r="8365" spans="18:19" x14ac:dyDescent="0.25">
      <c r="R8365"/>
      <c r="S8365"/>
    </row>
    <row r="8366" spans="18:19" x14ac:dyDescent="0.25">
      <c r="R8366"/>
      <c r="S8366"/>
    </row>
    <row r="8367" spans="18:19" x14ac:dyDescent="0.25">
      <c r="R8367"/>
      <c r="S8367"/>
    </row>
    <row r="8368" spans="18:19" x14ac:dyDescent="0.25">
      <c r="R8368"/>
      <c r="S8368"/>
    </row>
    <row r="8369" spans="18:19" x14ac:dyDescent="0.25">
      <c r="R8369"/>
      <c r="S8369"/>
    </row>
    <row r="8370" spans="18:19" x14ac:dyDescent="0.25">
      <c r="R8370"/>
      <c r="S8370"/>
    </row>
    <row r="8371" spans="18:19" x14ac:dyDescent="0.25">
      <c r="R8371"/>
      <c r="S8371"/>
    </row>
    <row r="8372" spans="18:19" x14ac:dyDescent="0.25">
      <c r="R8372"/>
      <c r="S8372"/>
    </row>
    <row r="8373" spans="18:19" x14ac:dyDescent="0.25">
      <c r="R8373"/>
      <c r="S8373"/>
    </row>
    <row r="8374" spans="18:19" x14ac:dyDescent="0.25">
      <c r="R8374"/>
      <c r="S8374"/>
    </row>
    <row r="8375" spans="18:19" x14ac:dyDescent="0.25">
      <c r="R8375"/>
      <c r="S8375"/>
    </row>
    <row r="8376" spans="18:19" x14ac:dyDescent="0.25">
      <c r="R8376"/>
      <c r="S8376"/>
    </row>
    <row r="8377" spans="18:19" x14ac:dyDescent="0.25">
      <c r="R8377"/>
      <c r="S8377"/>
    </row>
    <row r="8378" spans="18:19" x14ac:dyDescent="0.25">
      <c r="R8378"/>
      <c r="S8378"/>
    </row>
    <row r="8379" spans="18:19" x14ac:dyDescent="0.25">
      <c r="R8379"/>
      <c r="S8379"/>
    </row>
    <row r="8380" spans="18:19" x14ac:dyDescent="0.25">
      <c r="R8380"/>
      <c r="S8380"/>
    </row>
    <row r="8381" spans="18:19" x14ac:dyDescent="0.25">
      <c r="R8381"/>
      <c r="S8381"/>
    </row>
    <row r="8382" spans="18:19" x14ac:dyDescent="0.25">
      <c r="R8382"/>
      <c r="S8382"/>
    </row>
    <row r="8383" spans="18:19" x14ac:dyDescent="0.25">
      <c r="R8383"/>
      <c r="S8383"/>
    </row>
    <row r="8384" spans="18:19" x14ac:dyDescent="0.25">
      <c r="R8384"/>
      <c r="S8384"/>
    </row>
    <row r="8385" spans="18:19" x14ac:dyDescent="0.25">
      <c r="R8385"/>
      <c r="S8385"/>
    </row>
    <row r="8386" spans="18:19" x14ac:dyDescent="0.25">
      <c r="R8386"/>
      <c r="S8386"/>
    </row>
    <row r="8387" spans="18:19" x14ac:dyDescent="0.25">
      <c r="R8387"/>
      <c r="S8387"/>
    </row>
    <row r="8388" spans="18:19" x14ac:dyDescent="0.25">
      <c r="R8388"/>
      <c r="S8388"/>
    </row>
    <row r="8389" spans="18:19" x14ac:dyDescent="0.25">
      <c r="R8389"/>
      <c r="S8389"/>
    </row>
    <row r="8390" spans="18:19" x14ac:dyDescent="0.25">
      <c r="R8390"/>
      <c r="S8390"/>
    </row>
    <row r="8391" spans="18:19" x14ac:dyDescent="0.25">
      <c r="R8391"/>
      <c r="S8391"/>
    </row>
    <row r="8392" spans="18:19" x14ac:dyDescent="0.25">
      <c r="R8392"/>
      <c r="S8392"/>
    </row>
    <row r="8393" spans="18:19" x14ac:dyDescent="0.25">
      <c r="R8393"/>
      <c r="S8393"/>
    </row>
    <row r="8394" spans="18:19" x14ac:dyDescent="0.25">
      <c r="R8394"/>
      <c r="S8394"/>
    </row>
    <row r="8395" spans="18:19" x14ac:dyDescent="0.25">
      <c r="R8395"/>
      <c r="S8395"/>
    </row>
    <row r="8396" spans="18:19" x14ac:dyDescent="0.25">
      <c r="R8396"/>
      <c r="S8396"/>
    </row>
    <row r="8397" spans="18:19" x14ac:dyDescent="0.25">
      <c r="R8397"/>
      <c r="S8397"/>
    </row>
    <row r="8398" spans="18:19" x14ac:dyDescent="0.25">
      <c r="R8398"/>
      <c r="S8398"/>
    </row>
    <row r="8399" spans="18:19" x14ac:dyDescent="0.25">
      <c r="R8399"/>
      <c r="S8399"/>
    </row>
    <row r="8400" spans="18:19" x14ac:dyDescent="0.25">
      <c r="R8400"/>
      <c r="S8400"/>
    </row>
    <row r="8401" spans="18:19" x14ac:dyDescent="0.25">
      <c r="R8401"/>
      <c r="S8401"/>
    </row>
    <row r="8402" spans="18:19" x14ac:dyDescent="0.25">
      <c r="R8402"/>
      <c r="S8402"/>
    </row>
    <row r="8403" spans="18:19" x14ac:dyDescent="0.25">
      <c r="R8403"/>
      <c r="S8403"/>
    </row>
    <row r="8404" spans="18:19" x14ac:dyDescent="0.25">
      <c r="R8404"/>
      <c r="S8404"/>
    </row>
    <row r="8405" spans="18:19" x14ac:dyDescent="0.25">
      <c r="R8405"/>
      <c r="S8405"/>
    </row>
    <row r="8406" spans="18:19" x14ac:dyDescent="0.25">
      <c r="R8406"/>
      <c r="S8406"/>
    </row>
    <row r="8407" spans="18:19" x14ac:dyDescent="0.25">
      <c r="R8407"/>
      <c r="S8407"/>
    </row>
    <row r="8408" spans="18:19" x14ac:dyDescent="0.25">
      <c r="R8408"/>
      <c r="S8408"/>
    </row>
    <row r="8409" spans="18:19" x14ac:dyDescent="0.25">
      <c r="R8409"/>
      <c r="S8409"/>
    </row>
    <row r="8410" spans="18:19" x14ac:dyDescent="0.25">
      <c r="R8410"/>
      <c r="S8410"/>
    </row>
    <row r="8411" spans="18:19" x14ac:dyDescent="0.25">
      <c r="R8411"/>
      <c r="S8411"/>
    </row>
    <row r="8412" spans="18:19" x14ac:dyDescent="0.25">
      <c r="R8412"/>
      <c r="S8412"/>
    </row>
    <row r="8413" spans="18:19" x14ac:dyDescent="0.25">
      <c r="R8413"/>
      <c r="S8413"/>
    </row>
    <row r="8414" spans="18:19" x14ac:dyDescent="0.25">
      <c r="R8414"/>
      <c r="S8414"/>
    </row>
    <row r="8415" spans="18:19" x14ac:dyDescent="0.25">
      <c r="R8415"/>
      <c r="S8415"/>
    </row>
    <row r="8416" spans="18:19" x14ac:dyDescent="0.25">
      <c r="R8416"/>
      <c r="S8416"/>
    </row>
    <row r="8417" spans="18:19" x14ac:dyDescent="0.25">
      <c r="R8417"/>
      <c r="S8417"/>
    </row>
    <row r="8418" spans="18:19" x14ac:dyDescent="0.25">
      <c r="R8418"/>
      <c r="S8418"/>
    </row>
    <row r="8419" spans="18:19" x14ac:dyDescent="0.25">
      <c r="R8419"/>
      <c r="S8419"/>
    </row>
    <row r="8420" spans="18:19" x14ac:dyDescent="0.25">
      <c r="R8420"/>
      <c r="S8420"/>
    </row>
    <row r="8421" spans="18:19" x14ac:dyDescent="0.25">
      <c r="R8421"/>
      <c r="S8421"/>
    </row>
    <row r="8422" spans="18:19" x14ac:dyDescent="0.25">
      <c r="R8422"/>
      <c r="S8422"/>
    </row>
    <row r="8423" spans="18:19" x14ac:dyDescent="0.25">
      <c r="R8423"/>
      <c r="S8423"/>
    </row>
    <row r="8424" spans="18:19" x14ac:dyDescent="0.25">
      <c r="R8424"/>
      <c r="S8424"/>
    </row>
    <row r="8425" spans="18:19" x14ac:dyDescent="0.25">
      <c r="R8425"/>
      <c r="S8425"/>
    </row>
    <row r="8426" spans="18:19" x14ac:dyDescent="0.25">
      <c r="R8426"/>
      <c r="S8426"/>
    </row>
    <row r="8427" spans="18:19" x14ac:dyDescent="0.25">
      <c r="R8427"/>
      <c r="S8427"/>
    </row>
    <row r="8428" spans="18:19" x14ac:dyDescent="0.25">
      <c r="R8428"/>
      <c r="S8428"/>
    </row>
    <row r="8429" spans="18:19" x14ac:dyDescent="0.25">
      <c r="R8429"/>
      <c r="S8429"/>
    </row>
    <row r="8430" spans="18:19" x14ac:dyDescent="0.25">
      <c r="R8430"/>
      <c r="S8430"/>
    </row>
    <row r="8431" spans="18:19" x14ac:dyDescent="0.25">
      <c r="R8431"/>
      <c r="S8431"/>
    </row>
    <row r="8432" spans="18:19" x14ac:dyDescent="0.25">
      <c r="R8432"/>
      <c r="S8432"/>
    </row>
    <row r="8433" spans="18:19" x14ac:dyDescent="0.25">
      <c r="R8433"/>
      <c r="S8433"/>
    </row>
    <row r="8434" spans="18:19" x14ac:dyDescent="0.25">
      <c r="R8434"/>
      <c r="S8434"/>
    </row>
    <row r="8435" spans="18:19" x14ac:dyDescent="0.25">
      <c r="R8435"/>
      <c r="S8435"/>
    </row>
    <row r="8436" spans="18:19" x14ac:dyDescent="0.25">
      <c r="R8436"/>
      <c r="S8436"/>
    </row>
    <row r="8437" spans="18:19" x14ac:dyDescent="0.25">
      <c r="R8437"/>
      <c r="S8437"/>
    </row>
    <row r="8438" spans="18:19" x14ac:dyDescent="0.25">
      <c r="R8438"/>
      <c r="S8438"/>
    </row>
    <row r="8439" spans="18:19" x14ac:dyDescent="0.25">
      <c r="R8439"/>
      <c r="S8439"/>
    </row>
    <row r="8440" spans="18:19" x14ac:dyDescent="0.25">
      <c r="R8440"/>
      <c r="S8440"/>
    </row>
    <row r="8441" spans="18:19" x14ac:dyDescent="0.25">
      <c r="R8441"/>
      <c r="S8441"/>
    </row>
    <row r="8442" spans="18:19" x14ac:dyDescent="0.25">
      <c r="R8442"/>
      <c r="S8442"/>
    </row>
    <row r="8443" spans="18:19" x14ac:dyDescent="0.25">
      <c r="R8443"/>
      <c r="S8443"/>
    </row>
    <row r="8444" spans="18:19" x14ac:dyDescent="0.25">
      <c r="R8444"/>
      <c r="S8444"/>
    </row>
    <row r="8445" spans="18:19" x14ac:dyDescent="0.25">
      <c r="R8445"/>
      <c r="S8445"/>
    </row>
    <row r="8446" spans="18:19" x14ac:dyDescent="0.25">
      <c r="R8446"/>
      <c r="S8446"/>
    </row>
    <row r="8447" spans="18:19" x14ac:dyDescent="0.25">
      <c r="R8447"/>
      <c r="S8447"/>
    </row>
    <row r="8448" spans="18:19" x14ac:dyDescent="0.25">
      <c r="R8448"/>
      <c r="S8448"/>
    </row>
    <row r="8449" spans="18:19" x14ac:dyDescent="0.25">
      <c r="R8449"/>
      <c r="S8449"/>
    </row>
    <row r="8450" spans="18:19" x14ac:dyDescent="0.25">
      <c r="R8450"/>
      <c r="S8450"/>
    </row>
    <row r="8451" spans="18:19" x14ac:dyDescent="0.25">
      <c r="R8451"/>
      <c r="S8451"/>
    </row>
    <row r="8452" spans="18:19" x14ac:dyDescent="0.25">
      <c r="R8452"/>
      <c r="S8452"/>
    </row>
    <row r="8453" spans="18:19" x14ac:dyDescent="0.25">
      <c r="R8453"/>
      <c r="S8453"/>
    </row>
    <row r="8454" spans="18:19" x14ac:dyDescent="0.25">
      <c r="R8454"/>
      <c r="S8454"/>
    </row>
    <row r="8455" spans="18:19" x14ac:dyDescent="0.25">
      <c r="R8455"/>
      <c r="S8455"/>
    </row>
    <row r="8456" spans="18:19" x14ac:dyDescent="0.25">
      <c r="R8456"/>
      <c r="S8456"/>
    </row>
    <row r="8457" spans="18:19" x14ac:dyDescent="0.25">
      <c r="R8457"/>
      <c r="S8457"/>
    </row>
    <row r="8458" spans="18:19" x14ac:dyDescent="0.25">
      <c r="R8458"/>
      <c r="S8458"/>
    </row>
    <row r="8459" spans="18:19" x14ac:dyDescent="0.25">
      <c r="R8459"/>
      <c r="S8459"/>
    </row>
    <row r="8460" spans="18:19" x14ac:dyDescent="0.25">
      <c r="R8460"/>
      <c r="S8460"/>
    </row>
    <row r="8461" spans="18:19" x14ac:dyDescent="0.25">
      <c r="R8461"/>
      <c r="S8461"/>
    </row>
    <row r="8462" spans="18:19" x14ac:dyDescent="0.25">
      <c r="R8462"/>
      <c r="S8462"/>
    </row>
    <row r="8463" spans="18:19" x14ac:dyDescent="0.25">
      <c r="R8463"/>
      <c r="S8463"/>
    </row>
    <row r="8464" spans="18:19" x14ac:dyDescent="0.25">
      <c r="R8464"/>
      <c r="S8464"/>
    </row>
    <row r="8465" spans="18:19" x14ac:dyDescent="0.25">
      <c r="R8465"/>
      <c r="S8465"/>
    </row>
    <row r="8466" spans="18:19" x14ac:dyDescent="0.25">
      <c r="R8466"/>
      <c r="S8466"/>
    </row>
    <row r="8467" spans="18:19" x14ac:dyDescent="0.25">
      <c r="R8467"/>
      <c r="S8467"/>
    </row>
    <row r="8468" spans="18:19" x14ac:dyDescent="0.25">
      <c r="R8468"/>
      <c r="S8468"/>
    </row>
    <row r="8469" spans="18:19" x14ac:dyDescent="0.25">
      <c r="R8469"/>
      <c r="S8469"/>
    </row>
    <row r="8470" spans="18:19" x14ac:dyDescent="0.25">
      <c r="R8470"/>
      <c r="S8470"/>
    </row>
    <row r="8471" spans="18:19" x14ac:dyDescent="0.25">
      <c r="R8471"/>
      <c r="S8471"/>
    </row>
    <row r="8472" spans="18:19" x14ac:dyDescent="0.25">
      <c r="R8472"/>
      <c r="S8472"/>
    </row>
    <row r="8473" spans="18:19" x14ac:dyDescent="0.25">
      <c r="R8473"/>
      <c r="S8473"/>
    </row>
    <row r="8474" spans="18:19" x14ac:dyDescent="0.25">
      <c r="R8474"/>
      <c r="S8474"/>
    </row>
    <row r="8475" spans="18:19" x14ac:dyDescent="0.25">
      <c r="R8475"/>
      <c r="S8475"/>
    </row>
    <row r="8476" spans="18:19" x14ac:dyDescent="0.25">
      <c r="R8476"/>
      <c r="S8476"/>
    </row>
    <row r="8477" spans="18:19" x14ac:dyDescent="0.25">
      <c r="R8477"/>
      <c r="S8477"/>
    </row>
    <row r="8478" spans="18:19" x14ac:dyDescent="0.25">
      <c r="R8478"/>
      <c r="S8478"/>
    </row>
    <row r="8479" spans="18:19" x14ac:dyDescent="0.25">
      <c r="R8479"/>
      <c r="S8479"/>
    </row>
    <row r="8480" spans="18:19" x14ac:dyDescent="0.25">
      <c r="R8480"/>
      <c r="S8480"/>
    </row>
    <row r="8481" spans="18:19" x14ac:dyDescent="0.25">
      <c r="R8481"/>
      <c r="S8481"/>
    </row>
    <row r="8482" spans="18:19" x14ac:dyDescent="0.25">
      <c r="R8482"/>
      <c r="S8482"/>
    </row>
    <row r="8483" spans="18:19" x14ac:dyDescent="0.25">
      <c r="R8483"/>
      <c r="S8483"/>
    </row>
    <row r="8484" spans="18:19" x14ac:dyDescent="0.25">
      <c r="R8484"/>
      <c r="S8484"/>
    </row>
    <row r="8485" spans="18:19" x14ac:dyDescent="0.25">
      <c r="R8485"/>
      <c r="S8485"/>
    </row>
    <row r="8486" spans="18:19" x14ac:dyDescent="0.25">
      <c r="R8486"/>
      <c r="S8486"/>
    </row>
    <row r="8487" spans="18:19" x14ac:dyDescent="0.25">
      <c r="R8487"/>
      <c r="S8487"/>
    </row>
    <row r="8488" spans="18:19" x14ac:dyDescent="0.25">
      <c r="R8488"/>
      <c r="S8488"/>
    </row>
    <row r="8489" spans="18:19" x14ac:dyDescent="0.25">
      <c r="R8489"/>
      <c r="S8489"/>
    </row>
    <row r="8490" spans="18:19" x14ac:dyDescent="0.25">
      <c r="R8490"/>
      <c r="S8490"/>
    </row>
    <row r="8491" spans="18:19" x14ac:dyDescent="0.25">
      <c r="R8491"/>
      <c r="S8491"/>
    </row>
    <row r="8492" spans="18:19" x14ac:dyDescent="0.25">
      <c r="R8492"/>
      <c r="S8492"/>
    </row>
    <row r="8493" spans="18:19" x14ac:dyDescent="0.25">
      <c r="R8493"/>
      <c r="S8493"/>
    </row>
    <row r="8494" spans="18:19" x14ac:dyDescent="0.25">
      <c r="R8494"/>
      <c r="S8494"/>
    </row>
    <row r="8495" spans="18:19" x14ac:dyDescent="0.25">
      <c r="R8495"/>
      <c r="S8495"/>
    </row>
    <row r="8496" spans="18:19" x14ac:dyDescent="0.25">
      <c r="R8496"/>
      <c r="S8496"/>
    </row>
    <row r="8497" spans="18:19" x14ac:dyDescent="0.25">
      <c r="R8497"/>
      <c r="S8497"/>
    </row>
    <row r="8498" spans="18:19" x14ac:dyDescent="0.25">
      <c r="R8498"/>
      <c r="S8498"/>
    </row>
    <row r="8499" spans="18:19" x14ac:dyDescent="0.25">
      <c r="R8499"/>
      <c r="S8499"/>
    </row>
    <row r="8500" spans="18:19" x14ac:dyDescent="0.25">
      <c r="R8500"/>
      <c r="S8500"/>
    </row>
    <row r="8501" spans="18:19" x14ac:dyDescent="0.25">
      <c r="R8501"/>
      <c r="S8501"/>
    </row>
    <row r="8502" spans="18:19" x14ac:dyDescent="0.25">
      <c r="R8502"/>
      <c r="S8502"/>
    </row>
    <row r="8503" spans="18:19" x14ac:dyDescent="0.25">
      <c r="R8503"/>
      <c r="S8503"/>
    </row>
    <row r="8504" spans="18:19" x14ac:dyDescent="0.25">
      <c r="R8504"/>
      <c r="S8504"/>
    </row>
    <row r="8505" spans="18:19" x14ac:dyDescent="0.25">
      <c r="R8505"/>
      <c r="S8505"/>
    </row>
    <row r="8506" spans="18:19" x14ac:dyDescent="0.25">
      <c r="R8506"/>
      <c r="S8506"/>
    </row>
    <row r="8507" spans="18:19" x14ac:dyDescent="0.25">
      <c r="R8507"/>
      <c r="S8507"/>
    </row>
    <row r="8508" spans="18:19" x14ac:dyDescent="0.25">
      <c r="R8508"/>
      <c r="S8508"/>
    </row>
    <row r="8509" spans="18:19" x14ac:dyDescent="0.25">
      <c r="R8509"/>
      <c r="S8509"/>
    </row>
    <row r="8510" spans="18:19" x14ac:dyDescent="0.25">
      <c r="R8510"/>
      <c r="S8510"/>
    </row>
    <row r="8511" spans="18:19" x14ac:dyDescent="0.25">
      <c r="R8511"/>
      <c r="S8511"/>
    </row>
    <row r="8512" spans="18:19" x14ac:dyDescent="0.25">
      <c r="R8512"/>
      <c r="S8512"/>
    </row>
    <row r="8513" spans="18:19" x14ac:dyDescent="0.25">
      <c r="R8513"/>
      <c r="S8513"/>
    </row>
    <row r="8514" spans="18:19" x14ac:dyDescent="0.25">
      <c r="R8514"/>
      <c r="S8514"/>
    </row>
    <row r="8515" spans="18:19" x14ac:dyDescent="0.25">
      <c r="R8515"/>
      <c r="S8515"/>
    </row>
    <row r="8516" spans="18:19" x14ac:dyDescent="0.25">
      <c r="R8516"/>
      <c r="S8516"/>
    </row>
    <row r="8517" spans="18:19" x14ac:dyDescent="0.25">
      <c r="R8517"/>
      <c r="S8517"/>
    </row>
    <row r="8518" spans="18:19" x14ac:dyDescent="0.25">
      <c r="R8518"/>
      <c r="S8518"/>
    </row>
    <row r="8519" spans="18:19" x14ac:dyDescent="0.25">
      <c r="R8519"/>
      <c r="S8519"/>
    </row>
    <row r="8520" spans="18:19" x14ac:dyDescent="0.25">
      <c r="R8520"/>
      <c r="S8520"/>
    </row>
    <row r="8521" spans="18:19" x14ac:dyDescent="0.25">
      <c r="R8521"/>
      <c r="S8521"/>
    </row>
    <row r="8522" spans="18:19" x14ac:dyDescent="0.25">
      <c r="R8522"/>
      <c r="S8522"/>
    </row>
    <row r="8523" spans="18:19" x14ac:dyDescent="0.25">
      <c r="R8523"/>
      <c r="S8523"/>
    </row>
    <row r="8524" spans="18:19" x14ac:dyDescent="0.25">
      <c r="R8524"/>
      <c r="S8524"/>
    </row>
    <row r="8525" spans="18:19" x14ac:dyDescent="0.25">
      <c r="R8525"/>
      <c r="S8525"/>
    </row>
    <row r="8526" spans="18:19" x14ac:dyDescent="0.25">
      <c r="R8526"/>
      <c r="S8526"/>
    </row>
    <row r="8527" spans="18:19" x14ac:dyDescent="0.25">
      <c r="R8527"/>
      <c r="S8527"/>
    </row>
    <row r="8528" spans="18:19" x14ac:dyDescent="0.25">
      <c r="R8528"/>
      <c r="S8528"/>
    </row>
    <row r="8529" spans="18:19" x14ac:dyDescent="0.25">
      <c r="R8529"/>
      <c r="S8529"/>
    </row>
    <row r="8530" spans="18:19" x14ac:dyDescent="0.25">
      <c r="R8530"/>
      <c r="S8530"/>
    </row>
    <row r="8531" spans="18:19" x14ac:dyDescent="0.25">
      <c r="R8531"/>
      <c r="S8531"/>
    </row>
    <row r="8532" spans="18:19" x14ac:dyDescent="0.25">
      <c r="R8532"/>
      <c r="S8532"/>
    </row>
    <row r="8533" spans="18:19" x14ac:dyDescent="0.25">
      <c r="R8533"/>
      <c r="S8533"/>
    </row>
    <row r="8534" spans="18:19" x14ac:dyDescent="0.25">
      <c r="R8534"/>
      <c r="S8534"/>
    </row>
    <row r="8535" spans="18:19" x14ac:dyDescent="0.25">
      <c r="R8535"/>
      <c r="S8535"/>
    </row>
    <row r="8536" spans="18:19" x14ac:dyDescent="0.25">
      <c r="R8536"/>
      <c r="S8536"/>
    </row>
    <row r="8537" spans="18:19" x14ac:dyDescent="0.25">
      <c r="R8537"/>
      <c r="S8537"/>
    </row>
    <row r="8538" spans="18:19" x14ac:dyDescent="0.25">
      <c r="R8538"/>
      <c r="S8538"/>
    </row>
    <row r="8539" spans="18:19" x14ac:dyDescent="0.25">
      <c r="R8539"/>
      <c r="S8539"/>
    </row>
    <row r="8540" spans="18:19" x14ac:dyDescent="0.25">
      <c r="R8540"/>
      <c r="S8540"/>
    </row>
    <row r="8541" spans="18:19" x14ac:dyDescent="0.25">
      <c r="R8541"/>
      <c r="S8541"/>
    </row>
    <row r="8542" spans="18:19" x14ac:dyDescent="0.25">
      <c r="R8542"/>
      <c r="S8542"/>
    </row>
    <row r="8543" spans="18:19" x14ac:dyDescent="0.25">
      <c r="R8543"/>
      <c r="S8543"/>
    </row>
    <row r="8544" spans="18:19" x14ac:dyDescent="0.25">
      <c r="R8544"/>
      <c r="S8544"/>
    </row>
    <row r="8545" spans="18:19" x14ac:dyDescent="0.25">
      <c r="R8545"/>
      <c r="S8545"/>
    </row>
    <row r="8546" spans="18:19" x14ac:dyDescent="0.25">
      <c r="R8546"/>
      <c r="S8546"/>
    </row>
    <row r="8547" spans="18:19" x14ac:dyDescent="0.25">
      <c r="R8547"/>
      <c r="S8547"/>
    </row>
    <row r="8548" spans="18:19" x14ac:dyDescent="0.25">
      <c r="R8548"/>
      <c r="S8548"/>
    </row>
    <row r="8549" spans="18:19" x14ac:dyDescent="0.25">
      <c r="R8549"/>
      <c r="S8549"/>
    </row>
    <row r="8550" spans="18:19" x14ac:dyDescent="0.25">
      <c r="R8550"/>
      <c r="S8550"/>
    </row>
    <row r="8551" spans="18:19" x14ac:dyDescent="0.25">
      <c r="R8551"/>
      <c r="S8551"/>
    </row>
    <row r="8552" spans="18:19" x14ac:dyDescent="0.25">
      <c r="R8552"/>
      <c r="S8552"/>
    </row>
    <row r="8553" spans="18:19" x14ac:dyDescent="0.25">
      <c r="R8553"/>
      <c r="S8553"/>
    </row>
    <row r="8554" spans="18:19" x14ac:dyDescent="0.25">
      <c r="R8554"/>
      <c r="S8554"/>
    </row>
    <row r="8555" spans="18:19" x14ac:dyDescent="0.25">
      <c r="R8555"/>
      <c r="S8555"/>
    </row>
    <row r="8556" spans="18:19" x14ac:dyDescent="0.25">
      <c r="R8556"/>
      <c r="S8556"/>
    </row>
    <row r="8557" spans="18:19" x14ac:dyDescent="0.25">
      <c r="R8557"/>
      <c r="S8557"/>
    </row>
    <row r="8558" spans="18:19" x14ac:dyDescent="0.25">
      <c r="R8558"/>
      <c r="S8558"/>
    </row>
    <row r="8559" spans="18:19" x14ac:dyDescent="0.25">
      <c r="R8559"/>
      <c r="S8559"/>
    </row>
    <row r="8560" spans="18:19" x14ac:dyDescent="0.25">
      <c r="R8560"/>
      <c r="S8560"/>
    </row>
    <row r="8561" spans="18:19" x14ac:dyDescent="0.25">
      <c r="R8561"/>
      <c r="S8561"/>
    </row>
    <row r="8562" spans="18:19" x14ac:dyDescent="0.25">
      <c r="R8562"/>
      <c r="S8562"/>
    </row>
    <row r="8563" spans="18:19" x14ac:dyDescent="0.25">
      <c r="R8563"/>
      <c r="S8563"/>
    </row>
    <row r="8564" spans="18:19" x14ac:dyDescent="0.25">
      <c r="R8564"/>
      <c r="S8564"/>
    </row>
    <row r="8565" spans="18:19" x14ac:dyDescent="0.25">
      <c r="R8565"/>
      <c r="S8565"/>
    </row>
    <row r="8566" spans="18:19" x14ac:dyDescent="0.25">
      <c r="R8566"/>
      <c r="S8566"/>
    </row>
    <row r="8567" spans="18:19" x14ac:dyDescent="0.25">
      <c r="R8567"/>
      <c r="S8567"/>
    </row>
    <row r="8568" spans="18:19" x14ac:dyDescent="0.25">
      <c r="R8568"/>
      <c r="S8568"/>
    </row>
    <row r="8569" spans="18:19" x14ac:dyDescent="0.25">
      <c r="R8569"/>
      <c r="S8569"/>
    </row>
    <row r="8570" spans="18:19" x14ac:dyDescent="0.25">
      <c r="R8570"/>
      <c r="S8570"/>
    </row>
    <row r="8571" spans="18:19" x14ac:dyDescent="0.25">
      <c r="R8571"/>
      <c r="S8571"/>
    </row>
    <row r="8572" spans="18:19" x14ac:dyDescent="0.25">
      <c r="R8572"/>
      <c r="S8572"/>
    </row>
    <row r="8573" spans="18:19" x14ac:dyDescent="0.25">
      <c r="R8573"/>
      <c r="S8573"/>
    </row>
    <row r="8574" spans="18:19" x14ac:dyDescent="0.25">
      <c r="R8574"/>
      <c r="S8574"/>
    </row>
    <row r="8575" spans="18:19" x14ac:dyDescent="0.25">
      <c r="R8575"/>
      <c r="S8575"/>
    </row>
    <row r="8576" spans="18:19" x14ac:dyDescent="0.25">
      <c r="R8576"/>
      <c r="S8576"/>
    </row>
    <row r="8577" spans="18:19" x14ac:dyDescent="0.25">
      <c r="R8577"/>
      <c r="S8577"/>
    </row>
    <row r="8578" spans="18:19" x14ac:dyDescent="0.25">
      <c r="R8578"/>
      <c r="S8578"/>
    </row>
    <row r="8579" spans="18:19" x14ac:dyDescent="0.25">
      <c r="R8579"/>
      <c r="S8579"/>
    </row>
    <row r="8580" spans="18:19" x14ac:dyDescent="0.25">
      <c r="R8580"/>
      <c r="S8580"/>
    </row>
    <row r="8581" spans="18:19" x14ac:dyDescent="0.25">
      <c r="R8581"/>
      <c r="S8581"/>
    </row>
    <row r="8582" spans="18:19" x14ac:dyDescent="0.25">
      <c r="R8582"/>
      <c r="S8582"/>
    </row>
    <row r="8583" spans="18:19" x14ac:dyDescent="0.25">
      <c r="R8583"/>
      <c r="S8583"/>
    </row>
    <row r="8584" spans="18:19" x14ac:dyDescent="0.25">
      <c r="R8584"/>
      <c r="S8584"/>
    </row>
    <row r="8585" spans="18:19" x14ac:dyDescent="0.25">
      <c r="R8585"/>
      <c r="S8585"/>
    </row>
    <row r="8586" spans="18:19" x14ac:dyDescent="0.25">
      <c r="R8586"/>
      <c r="S8586"/>
    </row>
    <row r="8587" spans="18:19" x14ac:dyDescent="0.25">
      <c r="R8587"/>
      <c r="S8587"/>
    </row>
    <row r="8588" spans="18:19" x14ac:dyDescent="0.25">
      <c r="R8588"/>
      <c r="S8588"/>
    </row>
    <row r="8589" spans="18:19" x14ac:dyDescent="0.25">
      <c r="R8589"/>
      <c r="S8589"/>
    </row>
    <row r="8590" spans="18:19" x14ac:dyDescent="0.25">
      <c r="R8590"/>
      <c r="S8590"/>
    </row>
    <row r="8591" spans="18:19" x14ac:dyDescent="0.25">
      <c r="R8591"/>
      <c r="S8591"/>
    </row>
    <row r="8592" spans="18:19" x14ac:dyDescent="0.25">
      <c r="R8592"/>
      <c r="S8592"/>
    </row>
    <row r="8593" spans="18:19" x14ac:dyDescent="0.25">
      <c r="R8593"/>
      <c r="S8593"/>
    </row>
    <row r="8594" spans="18:19" x14ac:dyDescent="0.25">
      <c r="R8594"/>
      <c r="S8594"/>
    </row>
    <row r="8595" spans="18:19" x14ac:dyDescent="0.25">
      <c r="R8595"/>
      <c r="S8595"/>
    </row>
    <row r="8596" spans="18:19" x14ac:dyDescent="0.25">
      <c r="R8596"/>
      <c r="S8596"/>
    </row>
    <row r="8597" spans="18:19" x14ac:dyDescent="0.25">
      <c r="R8597"/>
      <c r="S8597"/>
    </row>
    <row r="8598" spans="18:19" x14ac:dyDescent="0.25">
      <c r="R8598"/>
      <c r="S8598"/>
    </row>
    <row r="8599" spans="18:19" x14ac:dyDescent="0.25">
      <c r="R8599"/>
      <c r="S8599"/>
    </row>
    <row r="8600" spans="18:19" x14ac:dyDescent="0.25">
      <c r="R8600"/>
      <c r="S8600"/>
    </row>
    <row r="8601" spans="18:19" x14ac:dyDescent="0.25">
      <c r="R8601"/>
      <c r="S8601"/>
    </row>
    <row r="8602" spans="18:19" x14ac:dyDescent="0.25">
      <c r="R8602"/>
      <c r="S8602"/>
    </row>
    <row r="8603" spans="18:19" x14ac:dyDescent="0.25">
      <c r="R8603"/>
      <c r="S8603"/>
    </row>
    <row r="8604" spans="18:19" x14ac:dyDescent="0.25">
      <c r="R8604"/>
      <c r="S8604"/>
    </row>
    <row r="8605" spans="18:19" x14ac:dyDescent="0.25">
      <c r="R8605"/>
      <c r="S8605"/>
    </row>
    <row r="8606" spans="18:19" x14ac:dyDescent="0.25">
      <c r="R8606"/>
      <c r="S8606"/>
    </row>
    <row r="8607" spans="18:19" x14ac:dyDescent="0.25">
      <c r="R8607"/>
      <c r="S8607"/>
    </row>
    <row r="8608" spans="18:19" x14ac:dyDescent="0.25">
      <c r="R8608"/>
      <c r="S8608"/>
    </row>
    <row r="8609" spans="18:19" x14ac:dyDescent="0.25">
      <c r="R8609"/>
      <c r="S8609"/>
    </row>
    <row r="8610" spans="18:19" x14ac:dyDescent="0.25">
      <c r="R8610"/>
      <c r="S8610"/>
    </row>
    <row r="8611" spans="18:19" x14ac:dyDescent="0.25">
      <c r="R8611"/>
      <c r="S8611"/>
    </row>
    <row r="8612" spans="18:19" x14ac:dyDescent="0.25">
      <c r="R8612"/>
      <c r="S8612"/>
    </row>
    <row r="8613" spans="18:19" x14ac:dyDescent="0.25">
      <c r="R8613"/>
      <c r="S8613"/>
    </row>
    <row r="8614" spans="18:19" x14ac:dyDescent="0.25">
      <c r="R8614"/>
      <c r="S8614"/>
    </row>
    <row r="8615" spans="18:19" x14ac:dyDescent="0.25">
      <c r="R8615"/>
      <c r="S8615"/>
    </row>
    <row r="8616" spans="18:19" x14ac:dyDescent="0.25">
      <c r="R8616"/>
      <c r="S8616"/>
    </row>
    <row r="8617" spans="18:19" x14ac:dyDescent="0.25">
      <c r="R8617"/>
      <c r="S8617"/>
    </row>
    <row r="8618" spans="18:19" x14ac:dyDescent="0.25">
      <c r="R8618"/>
      <c r="S8618"/>
    </row>
    <row r="8619" spans="18:19" x14ac:dyDescent="0.25">
      <c r="R8619"/>
      <c r="S8619"/>
    </row>
    <row r="8620" spans="18:19" x14ac:dyDescent="0.25">
      <c r="R8620"/>
      <c r="S8620"/>
    </row>
    <row r="8621" spans="18:19" x14ac:dyDescent="0.25">
      <c r="R8621"/>
      <c r="S8621"/>
    </row>
    <row r="8622" spans="18:19" x14ac:dyDescent="0.25">
      <c r="R8622"/>
      <c r="S8622"/>
    </row>
    <row r="8623" spans="18:19" x14ac:dyDescent="0.25">
      <c r="R8623"/>
      <c r="S8623"/>
    </row>
    <row r="8624" spans="18:19" x14ac:dyDescent="0.25">
      <c r="R8624"/>
      <c r="S8624"/>
    </row>
    <row r="8625" spans="18:19" x14ac:dyDescent="0.25">
      <c r="R8625"/>
      <c r="S8625"/>
    </row>
    <row r="8626" spans="18:19" x14ac:dyDescent="0.25">
      <c r="R8626"/>
      <c r="S8626"/>
    </row>
    <row r="8627" spans="18:19" x14ac:dyDescent="0.25">
      <c r="R8627"/>
      <c r="S8627"/>
    </row>
    <row r="8628" spans="18:19" x14ac:dyDescent="0.25">
      <c r="R8628"/>
      <c r="S8628"/>
    </row>
    <row r="8629" spans="18:19" x14ac:dyDescent="0.25">
      <c r="R8629"/>
      <c r="S8629"/>
    </row>
    <row r="8630" spans="18:19" x14ac:dyDescent="0.25">
      <c r="R8630"/>
      <c r="S8630"/>
    </row>
    <row r="8631" spans="18:19" x14ac:dyDescent="0.25">
      <c r="R8631"/>
      <c r="S8631"/>
    </row>
    <row r="8632" spans="18:19" x14ac:dyDescent="0.25">
      <c r="R8632"/>
      <c r="S8632"/>
    </row>
    <row r="8633" spans="18:19" x14ac:dyDescent="0.25">
      <c r="R8633"/>
      <c r="S8633"/>
    </row>
    <row r="8634" spans="18:19" x14ac:dyDescent="0.25">
      <c r="R8634"/>
      <c r="S8634"/>
    </row>
    <row r="8635" spans="18:19" x14ac:dyDescent="0.25">
      <c r="R8635"/>
      <c r="S8635"/>
    </row>
    <row r="8636" spans="18:19" x14ac:dyDescent="0.25">
      <c r="R8636"/>
      <c r="S8636"/>
    </row>
    <row r="8637" spans="18:19" x14ac:dyDescent="0.25">
      <c r="R8637"/>
      <c r="S8637"/>
    </row>
    <row r="8638" spans="18:19" x14ac:dyDescent="0.25">
      <c r="R8638"/>
      <c r="S8638"/>
    </row>
    <row r="8639" spans="18:19" x14ac:dyDescent="0.25">
      <c r="R8639"/>
      <c r="S8639"/>
    </row>
    <row r="8640" spans="18:19" x14ac:dyDescent="0.25">
      <c r="R8640"/>
      <c r="S8640"/>
    </row>
    <row r="8641" spans="18:19" x14ac:dyDescent="0.25">
      <c r="R8641"/>
      <c r="S8641"/>
    </row>
    <row r="8642" spans="18:19" x14ac:dyDescent="0.25">
      <c r="R8642"/>
      <c r="S8642"/>
    </row>
    <row r="8643" spans="18:19" x14ac:dyDescent="0.25">
      <c r="R8643"/>
      <c r="S8643"/>
    </row>
    <row r="8644" spans="18:19" x14ac:dyDescent="0.25">
      <c r="R8644"/>
      <c r="S8644"/>
    </row>
    <row r="8645" spans="18:19" x14ac:dyDescent="0.25">
      <c r="R8645"/>
      <c r="S8645"/>
    </row>
    <row r="8646" spans="18:19" x14ac:dyDescent="0.25">
      <c r="R8646"/>
      <c r="S8646"/>
    </row>
    <row r="8647" spans="18:19" x14ac:dyDescent="0.25">
      <c r="R8647"/>
      <c r="S8647"/>
    </row>
    <row r="8648" spans="18:19" x14ac:dyDescent="0.25">
      <c r="R8648"/>
      <c r="S8648"/>
    </row>
    <row r="8649" spans="18:19" x14ac:dyDescent="0.25">
      <c r="R8649"/>
      <c r="S8649"/>
    </row>
    <row r="8650" spans="18:19" x14ac:dyDescent="0.25">
      <c r="R8650"/>
      <c r="S8650"/>
    </row>
    <row r="8651" spans="18:19" x14ac:dyDescent="0.25">
      <c r="R8651"/>
      <c r="S8651"/>
    </row>
    <row r="8652" spans="18:19" x14ac:dyDescent="0.25">
      <c r="R8652"/>
      <c r="S8652"/>
    </row>
    <row r="8653" spans="18:19" x14ac:dyDescent="0.25">
      <c r="R8653"/>
      <c r="S8653"/>
    </row>
    <row r="8654" spans="18:19" x14ac:dyDescent="0.25">
      <c r="R8654"/>
      <c r="S8654"/>
    </row>
    <row r="8655" spans="18:19" x14ac:dyDescent="0.25">
      <c r="R8655"/>
      <c r="S8655"/>
    </row>
    <row r="8656" spans="18:19" x14ac:dyDescent="0.25">
      <c r="R8656"/>
      <c r="S8656"/>
    </row>
    <row r="8657" spans="18:19" x14ac:dyDescent="0.25">
      <c r="R8657"/>
      <c r="S8657"/>
    </row>
    <row r="8658" spans="18:19" x14ac:dyDescent="0.25">
      <c r="R8658"/>
      <c r="S8658"/>
    </row>
    <row r="8659" spans="18:19" x14ac:dyDescent="0.25">
      <c r="R8659"/>
      <c r="S8659"/>
    </row>
    <row r="8660" spans="18:19" x14ac:dyDescent="0.25">
      <c r="R8660"/>
      <c r="S8660"/>
    </row>
    <row r="8661" spans="18:19" x14ac:dyDescent="0.25">
      <c r="R8661"/>
      <c r="S8661"/>
    </row>
    <row r="8662" spans="18:19" x14ac:dyDescent="0.25">
      <c r="R8662"/>
      <c r="S8662"/>
    </row>
    <row r="8663" spans="18:19" x14ac:dyDescent="0.25">
      <c r="R8663"/>
      <c r="S8663"/>
    </row>
    <row r="8664" spans="18:19" x14ac:dyDescent="0.25">
      <c r="R8664"/>
      <c r="S8664"/>
    </row>
    <row r="8665" spans="18:19" x14ac:dyDescent="0.25">
      <c r="R8665"/>
      <c r="S8665"/>
    </row>
    <row r="8666" spans="18:19" x14ac:dyDescent="0.25">
      <c r="R8666"/>
      <c r="S8666"/>
    </row>
    <row r="8667" spans="18:19" x14ac:dyDescent="0.25">
      <c r="R8667"/>
      <c r="S8667"/>
    </row>
    <row r="8668" spans="18:19" x14ac:dyDescent="0.25">
      <c r="R8668"/>
      <c r="S8668"/>
    </row>
    <row r="8669" spans="18:19" x14ac:dyDescent="0.25">
      <c r="R8669"/>
      <c r="S8669"/>
    </row>
    <row r="8670" spans="18:19" x14ac:dyDescent="0.25">
      <c r="R8670"/>
      <c r="S8670"/>
    </row>
    <row r="8671" spans="18:19" x14ac:dyDescent="0.25">
      <c r="R8671"/>
      <c r="S8671"/>
    </row>
    <row r="8672" spans="18:19" x14ac:dyDescent="0.25">
      <c r="R8672"/>
      <c r="S8672"/>
    </row>
    <row r="8673" spans="18:19" x14ac:dyDescent="0.25">
      <c r="R8673"/>
      <c r="S8673"/>
    </row>
    <row r="8674" spans="18:19" x14ac:dyDescent="0.25">
      <c r="R8674"/>
      <c r="S8674"/>
    </row>
    <row r="8675" spans="18:19" x14ac:dyDescent="0.25">
      <c r="R8675"/>
      <c r="S8675"/>
    </row>
    <row r="8676" spans="18:19" x14ac:dyDescent="0.25">
      <c r="R8676"/>
      <c r="S8676"/>
    </row>
    <row r="8677" spans="18:19" x14ac:dyDescent="0.25">
      <c r="R8677"/>
      <c r="S8677"/>
    </row>
    <row r="8678" spans="18:19" x14ac:dyDescent="0.25">
      <c r="R8678"/>
      <c r="S8678"/>
    </row>
    <row r="8679" spans="18:19" x14ac:dyDescent="0.25">
      <c r="R8679"/>
      <c r="S8679"/>
    </row>
    <row r="8680" spans="18:19" x14ac:dyDescent="0.25">
      <c r="R8680"/>
      <c r="S8680"/>
    </row>
    <row r="8681" spans="18:19" x14ac:dyDescent="0.25">
      <c r="R8681"/>
      <c r="S8681"/>
    </row>
    <row r="8682" spans="18:19" x14ac:dyDescent="0.25">
      <c r="R8682"/>
      <c r="S8682"/>
    </row>
    <row r="8683" spans="18:19" x14ac:dyDescent="0.25">
      <c r="R8683"/>
      <c r="S8683"/>
    </row>
    <row r="8684" spans="18:19" x14ac:dyDescent="0.25">
      <c r="R8684"/>
      <c r="S8684"/>
    </row>
    <row r="8685" spans="18:19" x14ac:dyDescent="0.25">
      <c r="R8685"/>
      <c r="S8685"/>
    </row>
    <row r="8686" spans="18:19" x14ac:dyDescent="0.25">
      <c r="R8686"/>
      <c r="S8686"/>
    </row>
    <row r="8687" spans="18:19" x14ac:dyDescent="0.25">
      <c r="R8687"/>
      <c r="S8687"/>
    </row>
    <row r="8688" spans="18:19" x14ac:dyDescent="0.25">
      <c r="R8688"/>
      <c r="S8688"/>
    </row>
    <row r="8689" spans="18:19" x14ac:dyDescent="0.25">
      <c r="R8689"/>
      <c r="S8689"/>
    </row>
    <row r="8690" spans="18:19" x14ac:dyDescent="0.25">
      <c r="R8690"/>
      <c r="S8690"/>
    </row>
    <row r="8691" spans="18:19" x14ac:dyDescent="0.25">
      <c r="R8691"/>
      <c r="S8691"/>
    </row>
    <row r="8692" spans="18:19" x14ac:dyDescent="0.25">
      <c r="R8692"/>
      <c r="S8692"/>
    </row>
    <row r="8693" spans="18:19" x14ac:dyDescent="0.25">
      <c r="R8693"/>
      <c r="S8693"/>
    </row>
    <row r="8694" spans="18:19" x14ac:dyDescent="0.25">
      <c r="R8694"/>
      <c r="S8694"/>
    </row>
    <row r="8695" spans="18:19" x14ac:dyDescent="0.25">
      <c r="R8695"/>
      <c r="S8695"/>
    </row>
    <row r="8696" spans="18:19" x14ac:dyDescent="0.25">
      <c r="R8696"/>
      <c r="S8696"/>
    </row>
    <row r="8697" spans="18:19" x14ac:dyDescent="0.25">
      <c r="R8697"/>
      <c r="S8697"/>
    </row>
    <row r="8698" spans="18:19" x14ac:dyDescent="0.25">
      <c r="R8698"/>
      <c r="S8698"/>
    </row>
    <row r="8699" spans="18:19" x14ac:dyDescent="0.25">
      <c r="R8699"/>
      <c r="S8699"/>
    </row>
    <row r="8700" spans="18:19" x14ac:dyDescent="0.25">
      <c r="R8700"/>
      <c r="S8700"/>
    </row>
    <row r="8701" spans="18:19" x14ac:dyDescent="0.25">
      <c r="R8701"/>
      <c r="S8701"/>
    </row>
    <row r="8702" spans="18:19" x14ac:dyDescent="0.25">
      <c r="R8702"/>
      <c r="S8702"/>
    </row>
    <row r="8703" spans="18:19" x14ac:dyDescent="0.25">
      <c r="R8703"/>
      <c r="S8703"/>
    </row>
    <row r="8704" spans="18:19" x14ac:dyDescent="0.25">
      <c r="R8704"/>
      <c r="S8704"/>
    </row>
    <row r="8705" spans="18:19" x14ac:dyDescent="0.25">
      <c r="R8705"/>
      <c r="S8705"/>
    </row>
    <row r="8706" spans="18:19" x14ac:dyDescent="0.25">
      <c r="R8706"/>
      <c r="S8706"/>
    </row>
    <row r="8707" spans="18:19" x14ac:dyDescent="0.25">
      <c r="R8707"/>
      <c r="S8707"/>
    </row>
    <row r="8708" spans="18:19" x14ac:dyDescent="0.25">
      <c r="R8708"/>
      <c r="S8708"/>
    </row>
    <row r="8709" spans="18:19" x14ac:dyDescent="0.25">
      <c r="R8709"/>
      <c r="S8709"/>
    </row>
    <row r="8710" spans="18:19" x14ac:dyDescent="0.25">
      <c r="R8710"/>
      <c r="S8710"/>
    </row>
    <row r="8711" spans="18:19" x14ac:dyDescent="0.25">
      <c r="R8711"/>
      <c r="S8711"/>
    </row>
    <row r="8712" spans="18:19" x14ac:dyDescent="0.25">
      <c r="R8712"/>
      <c r="S8712"/>
    </row>
    <row r="8713" spans="18:19" x14ac:dyDescent="0.25">
      <c r="R8713"/>
      <c r="S8713"/>
    </row>
    <row r="8714" spans="18:19" x14ac:dyDescent="0.25">
      <c r="R8714"/>
      <c r="S8714"/>
    </row>
    <row r="8715" spans="18:19" x14ac:dyDescent="0.25">
      <c r="R8715"/>
      <c r="S8715"/>
    </row>
    <row r="8716" spans="18:19" x14ac:dyDescent="0.25">
      <c r="R8716"/>
      <c r="S8716"/>
    </row>
    <row r="8717" spans="18:19" x14ac:dyDescent="0.25">
      <c r="R8717"/>
      <c r="S8717"/>
    </row>
    <row r="8718" spans="18:19" x14ac:dyDescent="0.25">
      <c r="R8718"/>
      <c r="S8718"/>
    </row>
    <row r="8719" spans="18:19" x14ac:dyDescent="0.25">
      <c r="R8719"/>
      <c r="S8719"/>
    </row>
    <row r="8720" spans="18:19" x14ac:dyDescent="0.25">
      <c r="R8720"/>
      <c r="S8720"/>
    </row>
    <row r="8721" spans="18:19" x14ac:dyDescent="0.25">
      <c r="R8721"/>
      <c r="S8721"/>
    </row>
    <row r="8722" spans="18:19" x14ac:dyDescent="0.25">
      <c r="R8722"/>
      <c r="S8722"/>
    </row>
    <row r="8723" spans="18:19" x14ac:dyDescent="0.25">
      <c r="R8723"/>
      <c r="S8723"/>
    </row>
    <row r="8724" spans="18:19" x14ac:dyDescent="0.25">
      <c r="R8724"/>
      <c r="S8724"/>
    </row>
    <row r="8725" spans="18:19" x14ac:dyDescent="0.25">
      <c r="R8725"/>
      <c r="S8725"/>
    </row>
    <row r="8726" spans="18:19" x14ac:dyDescent="0.25">
      <c r="R8726"/>
      <c r="S8726"/>
    </row>
    <row r="8727" spans="18:19" x14ac:dyDescent="0.25">
      <c r="R8727"/>
      <c r="S8727"/>
    </row>
    <row r="8728" spans="18:19" x14ac:dyDescent="0.25">
      <c r="R8728"/>
      <c r="S8728"/>
    </row>
    <row r="8729" spans="18:19" x14ac:dyDescent="0.25">
      <c r="R8729"/>
      <c r="S8729"/>
    </row>
    <row r="8730" spans="18:19" x14ac:dyDescent="0.25">
      <c r="R8730"/>
      <c r="S8730"/>
    </row>
    <row r="8731" spans="18:19" x14ac:dyDescent="0.25">
      <c r="R8731"/>
      <c r="S8731"/>
    </row>
    <row r="8732" spans="18:19" x14ac:dyDescent="0.25">
      <c r="R8732"/>
      <c r="S8732"/>
    </row>
    <row r="8733" spans="18:19" x14ac:dyDescent="0.25">
      <c r="R8733"/>
      <c r="S8733"/>
    </row>
    <row r="8734" spans="18:19" x14ac:dyDescent="0.25">
      <c r="R8734"/>
      <c r="S8734"/>
    </row>
    <row r="8735" spans="18:19" x14ac:dyDescent="0.25">
      <c r="R8735"/>
      <c r="S8735"/>
    </row>
    <row r="8736" spans="18:19" x14ac:dyDescent="0.25">
      <c r="R8736"/>
      <c r="S8736"/>
    </row>
    <row r="8737" spans="18:19" x14ac:dyDescent="0.25">
      <c r="R8737"/>
      <c r="S8737"/>
    </row>
    <row r="8738" spans="18:19" x14ac:dyDescent="0.25">
      <c r="R8738"/>
      <c r="S8738"/>
    </row>
    <row r="8739" spans="18:19" x14ac:dyDescent="0.25">
      <c r="R8739"/>
      <c r="S8739"/>
    </row>
    <row r="8740" spans="18:19" x14ac:dyDescent="0.25">
      <c r="R8740"/>
      <c r="S8740"/>
    </row>
    <row r="8741" spans="18:19" x14ac:dyDescent="0.25">
      <c r="R8741"/>
      <c r="S8741"/>
    </row>
    <row r="8742" spans="18:19" x14ac:dyDescent="0.25">
      <c r="R8742"/>
      <c r="S8742"/>
    </row>
    <row r="8743" spans="18:19" x14ac:dyDescent="0.25">
      <c r="R8743"/>
      <c r="S8743"/>
    </row>
    <row r="8744" spans="18:19" x14ac:dyDescent="0.25">
      <c r="R8744"/>
      <c r="S8744"/>
    </row>
    <row r="8745" spans="18:19" x14ac:dyDescent="0.25">
      <c r="R8745"/>
      <c r="S8745"/>
    </row>
    <row r="8746" spans="18:19" x14ac:dyDescent="0.25">
      <c r="R8746"/>
      <c r="S8746"/>
    </row>
    <row r="8747" spans="18:19" x14ac:dyDescent="0.25">
      <c r="R8747"/>
      <c r="S8747"/>
    </row>
    <row r="8748" spans="18:19" x14ac:dyDescent="0.25">
      <c r="R8748"/>
      <c r="S8748"/>
    </row>
    <row r="8749" spans="18:19" x14ac:dyDescent="0.25">
      <c r="R8749"/>
      <c r="S8749"/>
    </row>
    <row r="8750" spans="18:19" x14ac:dyDescent="0.25">
      <c r="R8750"/>
      <c r="S8750"/>
    </row>
    <row r="8751" spans="18:19" x14ac:dyDescent="0.25">
      <c r="R8751"/>
      <c r="S8751"/>
    </row>
    <row r="8752" spans="18:19" x14ac:dyDescent="0.25">
      <c r="R8752"/>
      <c r="S8752"/>
    </row>
    <row r="8753" spans="18:19" x14ac:dyDescent="0.25">
      <c r="R8753"/>
      <c r="S8753"/>
    </row>
    <row r="8754" spans="18:19" x14ac:dyDescent="0.25">
      <c r="R8754"/>
      <c r="S8754"/>
    </row>
    <row r="8755" spans="18:19" x14ac:dyDescent="0.25">
      <c r="R8755"/>
      <c r="S8755"/>
    </row>
    <row r="8756" spans="18:19" x14ac:dyDescent="0.25">
      <c r="R8756"/>
      <c r="S8756"/>
    </row>
    <row r="8757" spans="18:19" x14ac:dyDescent="0.25">
      <c r="R8757"/>
      <c r="S8757"/>
    </row>
    <row r="8758" spans="18:19" x14ac:dyDescent="0.25">
      <c r="R8758"/>
      <c r="S8758"/>
    </row>
    <row r="8759" spans="18:19" x14ac:dyDescent="0.25">
      <c r="R8759"/>
      <c r="S8759"/>
    </row>
    <row r="8760" spans="18:19" x14ac:dyDescent="0.25">
      <c r="R8760"/>
      <c r="S8760"/>
    </row>
    <row r="8761" spans="18:19" x14ac:dyDescent="0.25">
      <c r="R8761"/>
      <c r="S8761"/>
    </row>
    <row r="8762" spans="18:19" x14ac:dyDescent="0.25">
      <c r="R8762"/>
      <c r="S8762"/>
    </row>
    <row r="8763" spans="18:19" x14ac:dyDescent="0.25">
      <c r="R8763"/>
      <c r="S8763"/>
    </row>
    <row r="8764" spans="18:19" x14ac:dyDescent="0.25">
      <c r="R8764"/>
      <c r="S8764"/>
    </row>
    <row r="8765" spans="18:19" x14ac:dyDescent="0.25">
      <c r="R8765"/>
      <c r="S8765"/>
    </row>
    <row r="8766" spans="18:19" x14ac:dyDescent="0.25">
      <c r="R8766"/>
      <c r="S8766"/>
    </row>
    <row r="8767" spans="18:19" x14ac:dyDescent="0.25">
      <c r="R8767"/>
      <c r="S8767"/>
    </row>
    <row r="8768" spans="18:19" x14ac:dyDescent="0.25">
      <c r="R8768"/>
      <c r="S8768"/>
    </row>
    <row r="8769" spans="18:19" x14ac:dyDescent="0.25">
      <c r="R8769"/>
      <c r="S8769"/>
    </row>
    <row r="8770" spans="18:19" x14ac:dyDescent="0.25">
      <c r="R8770"/>
      <c r="S8770"/>
    </row>
    <row r="8771" spans="18:19" x14ac:dyDescent="0.25">
      <c r="R8771"/>
      <c r="S8771"/>
    </row>
    <row r="8772" spans="18:19" x14ac:dyDescent="0.25">
      <c r="R8772"/>
      <c r="S8772"/>
    </row>
    <row r="8773" spans="18:19" x14ac:dyDescent="0.25">
      <c r="R8773"/>
      <c r="S8773"/>
    </row>
    <row r="8774" spans="18:19" x14ac:dyDescent="0.25">
      <c r="R8774"/>
      <c r="S8774"/>
    </row>
    <row r="8775" spans="18:19" x14ac:dyDescent="0.25">
      <c r="R8775"/>
      <c r="S8775"/>
    </row>
    <row r="8776" spans="18:19" x14ac:dyDescent="0.25">
      <c r="R8776"/>
      <c r="S8776"/>
    </row>
    <row r="8777" spans="18:19" x14ac:dyDescent="0.25">
      <c r="R8777"/>
      <c r="S8777"/>
    </row>
    <row r="8778" spans="18:19" x14ac:dyDescent="0.25">
      <c r="R8778"/>
      <c r="S8778"/>
    </row>
    <row r="8779" spans="18:19" x14ac:dyDescent="0.25">
      <c r="R8779"/>
      <c r="S8779"/>
    </row>
    <row r="8780" spans="18:19" x14ac:dyDescent="0.25">
      <c r="R8780"/>
      <c r="S8780"/>
    </row>
    <row r="8781" spans="18:19" x14ac:dyDescent="0.25">
      <c r="R8781"/>
      <c r="S8781"/>
    </row>
    <row r="8782" spans="18:19" x14ac:dyDescent="0.25">
      <c r="R8782"/>
      <c r="S8782"/>
    </row>
    <row r="8783" spans="18:19" x14ac:dyDescent="0.25">
      <c r="R8783"/>
      <c r="S8783"/>
    </row>
    <row r="8784" spans="18:19" x14ac:dyDescent="0.25">
      <c r="R8784"/>
      <c r="S8784"/>
    </row>
    <row r="8785" spans="18:19" x14ac:dyDescent="0.25">
      <c r="R8785"/>
      <c r="S8785"/>
    </row>
    <row r="8786" spans="18:19" x14ac:dyDescent="0.25">
      <c r="R8786"/>
      <c r="S8786"/>
    </row>
    <row r="8787" spans="18:19" x14ac:dyDescent="0.25">
      <c r="R8787"/>
      <c r="S8787"/>
    </row>
    <row r="8788" spans="18:19" x14ac:dyDescent="0.25">
      <c r="R8788"/>
      <c r="S8788"/>
    </row>
    <row r="8789" spans="18:19" x14ac:dyDescent="0.25">
      <c r="R8789"/>
      <c r="S8789"/>
    </row>
    <row r="8790" spans="18:19" x14ac:dyDescent="0.25">
      <c r="R8790"/>
      <c r="S8790"/>
    </row>
    <row r="8791" spans="18:19" x14ac:dyDescent="0.25">
      <c r="R8791"/>
      <c r="S8791"/>
    </row>
    <row r="8792" spans="18:19" x14ac:dyDescent="0.25">
      <c r="R8792"/>
      <c r="S8792"/>
    </row>
    <row r="8793" spans="18:19" x14ac:dyDescent="0.25">
      <c r="R8793"/>
      <c r="S8793"/>
    </row>
    <row r="8794" spans="18:19" x14ac:dyDescent="0.25">
      <c r="R8794"/>
      <c r="S8794"/>
    </row>
    <row r="8795" spans="18:19" x14ac:dyDescent="0.25">
      <c r="R8795"/>
      <c r="S8795"/>
    </row>
    <row r="8796" spans="18:19" x14ac:dyDescent="0.25">
      <c r="R8796"/>
      <c r="S8796"/>
    </row>
    <row r="8797" spans="18:19" x14ac:dyDescent="0.25">
      <c r="R8797"/>
      <c r="S8797"/>
    </row>
    <row r="8798" spans="18:19" x14ac:dyDescent="0.25">
      <c r="R8798"/>
      <c r="S8798"/>
    </row>
    <row r="8799" spans="18:19" x14ac:dyDescent="0.25">
      <c r="R8799"/>
      <c r="S8799"/>
    </row>
    <row r="8800" spans="18:19" x14ac:dyDescent="0.25">
      <c r="R8800"/>
      <c r="S8800"/>
    </row>
    <row r="8801" spans="18:19" x14ac:dyDescent="0.25">
      <c r="R8801"/>
      <c r="S8801"/>
    </row>
    <row r="8802" spans="18:19" x14ac:dyDescent="0.25">
      <c r="R8802"/>
      <c r="S8802"/>
    </row>
    <row r="8803" spans="18:19" x14ac:dyDescent="0.25">
      <c r="R8803"/>
      <c r="S8803"/>
    </row>
    <row r="8804" spans="18:19" x14ac:dyDescent="0.25">
      <c r="R8804"/>
      <c r="S8804"/>
    </row>
    <row r="8805" spans="18:19" x14ac:dyDescent="0.25">
      <c r="R8805"/>
      <c r="S8805"/>
    </row>
    <row r="8806" spans="18:19" x14ac:dyDescent="0.25">
      <c r="R8806"/>
      <c r="S8806"/>
    </row>
    <row r="8807" spans="18:19" x14ac:dyDescent="0.25">
      <c r="R8807"/>
      <c r="S8807"/>
    </row>
    <row r="8808" spans="18:19" x14ac:dyDescent="0.25">
      <c r="R8808"/>
      <c r="S8808"/>
    </row>
    <row r="8809" spans="18:19" x14ac:dyDescent="0.25">
      <c r="R8809"/>
      <c r="S8809"/>
    </row>
    <row r="8810" spans="18:19" x14ac:dyDescent="0.25">
      <c r="R8810"/>
      <c r="S8810"/>
    </row>
    <row r="8811" spans="18:19" x14ac:dyDescent="0.25">
      <c r="R8811"/>
      <c r="S8811"/>
    </row>
    <row r="8812" spans="18:19" x14ac:dyDescent="0.25">
      <c r="R8812"/>
      <c r="S8812"/>
    </row>
    <row r="8813" spans="18:19" x14ac:dyDescent="0.25">
      <c r="R8813"/>
      <c r="S8813"/>
    </row>
    <row r="8814" spans="18:19" x14ac:dyDescent="0.25">
      <c r="R8814"/>
      <c r="S8814"/>
    </row>
    <row r="8815" spans="18:19" x14ac:dyDescent="0.25">
      <c r="R8815"/>
      <c r="S8815"/>
    </row>
    <row r="8816" spans="18:19" x14ac:dyDescent="0.25">
      <c r="R8816"/>
      <c r="S8816"/>
    </row>
    <row r="8817" spans="18:19" x14ac:dyDescent="0.25">
      <c r="R8817"/>
      <c r="S8817"/>
    </row>
    <row r="8818" spans="18:19" x14ac:dyDescent="0.25">
      <c r="R8818"/>
      <c r="S8818"/>
    </row>
    <row r="8819" spans="18:19" x14ac:dyDescent="0.25">
      <c r="R8819"/>
      <c r="S8819"/>
    </row>
    <row r="8820" spans="18:19" x14ac:dyDescent="0.25">
      <c r="R8820"/>
      <c r="S8820"/>
    </row>
    <row r="8821" spans="18:19" x14ac:dyDescent="0.25">
      <c r="R8821"/>
      <c r="S8821"/>
    </row>
    <row r="8822" spans="18:19" x14ac:dyDescent="0.25">
      <c r="R8822"/>
      <c r="S8822"/>
    </row>
    <row r="8823" spans="18:19" x14ac:dyDescent="0.25">
      <c r="R8823"/>
      <c r="S8823"/>
    </row>
    <row r="8824" spans="18:19" x14ac:dyDescent="0.25">
      <c r="R8824"/>
      <c r="S8824"/>
    </row>
    <row r="8825" spans="18:19" x14ac:dyDescent="0.25">
      <c r="R8825"/>
      <c r="S8825"/>
    </row>
    <row r="8826" spans="18:19" x14ac:dyDescent="0.25">
      <c r="R8826"/>
      <c r="S8826"/>
    </row>
    <row r="8827" spans="18:19" x14ac:dyDescent="0.25">
      <c r="R8827"/>
      <c r="S8827"/>
    </row>
    <row r="8828" spans="18:19" x14ac:dyDescent="0.25">
      <c r="R8828"/>
      <c r="S8828"/>
    </row>
    <row r="8829" spans="18:19" x14ac:dyDescent="0.25">
      <c r="R8829"/>
      <c r="S8829"/>
    </row>
    <row r="8830" spans="18:19" x14ac:dyDescent="0.25">
      <c r="R8830"/>
      <c r="S8830"/>
    </row>
    <row r="8831" spans="18:19" x14ac:dyDescent="0.25">
      <c r="R8831"/>
      <c r="S8831"/>
    </row>
    <row r="8832" spans="18:19" x14ac:dyDescent="0.25">
      <c r="R8832"/>
      <c r="S8832"/>
    </row>
    <row r="8833" spans="18:19" x14ac:dyDescent="0.25">
      <c r="R8833"/>
      <c r="S8833"/>
    </row>
    <row r="8834" spans="18:19" x14ac:dyDescent="0.25">
      <c r="R8834"/>
      <c r="S8834"/>
    </row>
    <row r="8835" spans="18:19" x14ac:dyDescent="0.25">
      <c r="R8835"/>
      <c r="S8835"/>
    </row>
    <row r="8836" spans="18:19" x14ac:dyDescent="0.25">
      <c r="R8836"/>
      <c r="S8836"/>
    </row>
    <row r="8837" spans="18:19" x14ac:dyDescent="0.25">
      <c r="R8837"/>
      <c r="S8837"/>
    </row>
    <row r="8838" spans="18:19" x14ac:dyDescent="0.25">
      <c r="R8838"/>
      <c r="S8838"/>
    </row>
    <row r="8839" spans="18:19" x14ac:dyDescent="0.25">
      <c r="R8839"/>
      <c r="S8839"/>
    </row>
    <row r="8840" spans="18:19" x14ac:dyDescent="0.25">
      <c r="R8840"/>
      <c r="S8840"/>
    </row>
    <row r="8841" spans="18:19" x14ac:dyDescent="0.25">
      <c r="R8841"/>
      <c r="S8841"/>
    </row>
    <row r="8842" spans="18:19" x14ac:dyDescent="0.25">
      <c r="R8842"/>
      <c r="S8842"/>
    </row>
    <row r="8843" spans="18:19" x14ac:dyDescent="0.25">
      <c r="R8843"/>
      <c r="S8843"/>
    </row>
    <row r="8844" spans="18:19" x14ac:dyDescent="0.25">
      <c r="R8844"/>
      <c r="S8844"/>
    </row>
    <row r="8845" spans="18:19" x14ac:dyDescent="0.25">
      <c r="R8845"/>
      <c r="S8845"/>
    </row>
    <row r="8846" spans="18:19" x14ac:dyDescent="0.25">
      <c r="R8846"/>
      <c r="S8846"/>
    </row>
    <row r="8847" spans="18:19" x14ac:dyDescent="0.25">
      <c r="R8847"/>
      <c r="S8847"/>
    </row>
    <row r="8848" spans="18:19" x14ac:dyDescent="0.25">
      <c r="R8848"/>
      <c r="S8848"/>
    </row>
    <row r="8849" spans="18:19" x14ac:dyDescent="0.25">
      <c r="R8849"/>
      <c r="S8849"/>
    </row>
    <row r="8850" spans="18:19" x14ac:dyDescent="0.25">
      <c r="R8850"/>
      <c r="S8850"/>
    </row>
    <row r="8851" spans="18:19" x14ac:dyDescent="0.25">
      <c r="R8851"/>
      <c r="S8851"/>
    </row>
    <row r="8852" spans="18:19" x14ac:dyDescent="0.25">
      <c r="R8852"/>
      <c r="S8852"/>
    </row>
    <row r="8853" spans="18:19" x14ac:dyDescent="0.25">
      <c r="R8853"/>
      <c r="S8853"/>
    </row>
    <row r="8854" spans="18:19" x14ac:dyDescent="0.25">
      <c r="R8854"/>
      <c r="S8854"/>
    </row>
    <row r="8855" spans="18:19" x14ac:dyDescent="0.25">
      <c r="R8855"/>
      <c r="S8855"/>
    </row>
    <row r="8856" spans="18:19" x14ac:dyDescent="0.25">
      <c r="R8856"/>
      <c r="S8856"/>
    </row>
    <row r="8857" spans="18:19" x14ac:dyDescent="0.25">
      <c r="R8857"/>
      <c r="S8857"/>
    </row>
    <row r="8858" spans="18:19" x14ac:dyDescent="0.25">
      <c r="R8858"/>
      <c r="S8858"/>
    </row>
    <row r="8859" spans="18:19" x14ac:dyDescent="0.25">
      <c r="R8859"/>
      <c r="S8859"/>
    </row>
    <row r="8860" spans="18:19" x14ac:dyDescent="0.25">
      <c r="R8860"/>
      <c r="S8860"/>
    </row>
    <row r="8861" spans="18:19" x14ac:dyDescent="0.25">
      <c r="R8861"/>
      <c r="S8861"/>
    </row>
    <row r="8862" spans="18:19" x14ac:dyDescent="0.25">
      <c r="R8862"/>
      <c r="S8862"/>
    </row>
    <row r="8863" spans="18:19" x14ac:dyDescent="0.25">
      <c r="R8863"/>
      <c r="S8863"/>
    </row>
    <row r="8864" spans="18:19" x14ac:dyDescent="0.25">
      <c r="R8864"/>
      <c r="S8864"/>
    </row>
    <row r="8865" spans="18:19" x14ac:dyDescent="0.25">
      <c r="R8865"/>
      <c r="S8865"/>
    </row>
    <row r="8866" spans="18:19" x14ac:dyDescent="0.25">
      <c r="R8866"/>
      <c r="S8866"/>
    </row>
    <row r="8867" spans="18:19" x14ac:dyDescent="0.25">
      <c r="R8867"/>
      <c r="S8867"/>
    </row>
    <row r="8868" spans="18:19" x14ac:dyDescent="0.25">
      <c r="R8868"/>
      <c r="S8868"/>
    </row>
    <row r="8869" spans="18:19" x14ac:dyDescent="0.25">
      <c r="R8869"/>
      <c r="S8869"/>
    </row>
    <row r="8870" spans="18:19" x14ac:dyDescent="0.25">
      <c r="R8870"/>
      <c r="S8870"/>
    </row>
    <row r="8871" spans="18:19" x14ac:dyDescent="0.25">
      <c r="R8871"/>
      <c r="S8871"/>
    </row>
    <row r="8872" spans="18:19" x14ac:dyDescent="0.25">
      <c r="R8872"/>
      <c r="S8872"/>
    </row>
    <row r="8873" spans="18:19" x14ac:dyDescent="0.25">
      <c r="R8873"/>
      <c r="S8873"/>
    </row>
    <row r="8874" spans="18:19" x14ac:dyDescent="0.25">
      <c r="R8874"/>
      <c r="S8874"/>
    </row>
    <row r="8875" spans="18:19" x14ac:dyDescent="0.25">
      <c r="R8875"/>
      <c r="S8875"/>
    </row>
    <row r="8876" spans="18:19" x14ac:dyDescent="0.25">
      <c r="R8876"/>
      <c r="S8876"/>
    </row>
    <row r="8877" spans="18:19" x14ac:dyDescent="0.25">
      <c r="R8877"/>
      <c r="S8877"/>
    </row>
    <row r="8878" spans="18:19" x14ac:dyDescent="0.25">
      <c r="R8878"/>
      <c r="S8878"/>
    </row>
    <row r="8879" spans="18:19" x14ac:dyDescent="0.25">
      <c r="R8879"/>
      <c r="S8879"/>
    </row>
    <row r="8880" spans="18:19" x14ac:dyDescent="0.25">
      <c r="R8880"/>
      <c r="S8880"/>
    </row>
    <row r="8881" spans="18:19" x14ac:dyDescent="0.25">
      <c r="R8881"/>
      <c r="S8881"/>
    </row>
    <row r="8882" spans="18:19" x14ac:dyDescent="0.25">
      <c r="R8882"/>
      <c r="S8882"/>
    </row>
    <row r="8883" spans="18:19" x14ac:dyDescent="0.25">
      <c r="R8883"/>
      <c r="S8883"/>
    </row>
    <row r="8884" spans="18:19" x14ac:dyDescent="0.25">
      <c r="R8884"/>
      <c r="S8884"/>
    </row>
    <row r="8885" spans="18:19" x14ac:dyDescent="0.25">
      <c r="R8885"/>
      <c r="S8885"/>
    </row>
    <row r="8886" spans="18:19" x14ac:dyDescent="0.25">
      <c r="R8886"/>
      <c r="S8886"/>
    </row>
    <row r="8887" spans="18:19" x14ac:dyDescent="0.25">
      <c r="R8887"/>
      <c r="S8887"/>
    </row>
    <row r="8888" spans="18:19" x14ac:dyDescent="0.25">
      <c r="R8888"/>
      <c r="S8888"/>
    </row>
    <row r="8889" spans="18:19" x14ac:dyDescent="0.25">
      <c r="R8889"/>
      <c r="S8889"/>
    </row>
    <row r="8890" spans="18:19" x14ac:dyDescent="0.25">
      <c r="R8890"/>
      <c r="S8890"/>
    </row>
    <row r="8891" spans="18:19" x14ac:dyDescent="0.25">
      <c r="R8891"/>
      <c r="S8891"/>
    </row>
    <row r="8892" spans="18:19" x14ac:dyDescent="0.25">
      <c r="R8892"/>
      <c r="S8892"/>
    </row>
    <row r="8893" spans="18:19" x14ac:dyDescent="0.25">
      <c r="R8893"/>
      <c r="S8893"/>
    </row>
    <row r="8894" spans="18:19" x14ac:dyDescent="0.25">
      <c r="R8894"/>
      <c r="S8894"/>
    </row>
    <row r="8895" spans="18:19" x14ac:dyDescent="0.25">
      <c r="R8895"/>
      <c r="S8895"/>
    </row>
    <row r="8896" spans="18:19" x14ac:dyDescent="0.25">
      <c r="R8896"/>
      <c r="S8896"/>
    </row>
    <row r="8897" spans="18:19" x14ac:dyDescent="0.25">
      <c r="R8897"/>
      <c r="S8897"/>
    </row>
    <row r="8898" spans="18:19" x14ac:dyDescent="0.25">
      <c r="R8898"/>
      <c r="S8898"/>
    </row>
    <row r="8899" spans="18:19" x14ac:dyDescent="0.25">
      <c r="R8899"/>
      <c r="S8899"/>
    </row>
    <row r="8900" spans="18:19" x14ac:dyDescent="0.25">
      <c r="R8900"/>
      <c r="S8900"/>
    </row>
    <row r="8901" spans="18:19" x14ac:dyDescent="0.25">
      <c r="R8901"/>
      <c r="S8901"/>
    </row>
    <row r="8902" spans="18:19" x14ac:dyDescent="0.25">
      <c r="R8902"/>
      <c r="S8902"/>
    </row>
    <row r="8903" spans="18:19" x14ac:dyDescent="0.25">
      <c r="R8903"/>
      <c r="S8903"/>
    </row>
    <row r="8904" spans="18:19" x14ac:dyDescent="0.25">
      <c r="R8904"/>
      <c r="S8904"/>
    </row>
    <row r="8905" spans="18:19" x14ac:dyDescent="0.25">
      <c r="R8905"/>
      <c r="S8905"/>
    </row>
    <row r="8906" spans="18:19" x14ac:dyDescent="0.25">
      <c r="R8906"/>
      <c r="S8906"/>
    </row>
    <row r="8907" spans="18:19" x14ac:dyDescent="0.25">
      <c r="R8907"/>
      <c r="S8907"/>
    </row>
    <row r="8908" spans="18:19" x14ac:dyDescent="0.25">
      <c r="R8908"/>
      <c r="S8908"/>
    </row>
    <row r="8909" spans="18:19" x14ac:dyDescent="0.25">
      <c r="R8909"/>
      <c r="S8909"/>
    </row>
    <row r="8910" spans="18:19" x14ac:dyDescent="0.25">
      <c r="R8910"/>
      <c r="S8910"/>
    </row>
    <row r="8911" spans="18:19" x14ac:dyDescent="0.25">
      <c r="R8911"/>
      <c r="S8911"/>
    </row>
    <row r="8912" spans="18:19" x14ac:dyDescent="0.25">
      <c r="R8912"/>
      <c r="S8912"/>
    </row>
    <row r="8913" spans="18:19" x14ac:dyDescent="0.25">
      <c r="R8913"/>
      <c r="S8913"/>
    </row>
    <row r="8914" spans="18:19" x14ac:dyDescent="0.25">
      <c r="R8914"/>
      <c r="S8914"/>
    </row>
    <row r="8915" spans="18:19" x14ac:dyDescent="0.25">
      <c r="R8915"/>
      <c r="S8915"/>
    </row>
    <row r="8916" spans="18:19" x14ac:dyDescent="0.25">
      <c r="R8916"/>
      <c r="S8916"/>
    </row>
    <row r="8917" spans="18:19" x14ac:dyDescent="0.25">
      <c r="R8917"/>
      <c r="S8917"/>
    </row>
    <row r="8918" spans="18:19" x14ac:dyDescent="0.25">
      <c r="R8918"/>
      <c r="S8918"/>
    </row>
    <row r="8919" spans="18:19" x14ac:dyDescent="0.25">
      <c r="R8919"/>
      <c r="S8919"/>
    </row>
    <row r="8920" spans="18:19" x14ac:dyDescent="0.25">
      <c r="R8920"/>
      <c r="S8920"/>
    </row>
    <row r="8921" spans="18:19" x14ac:dyDescent="0.25">
      <c r="R8921"/>
      <c r="S8921"/>
    </row>
    <row r="8922" spans="18:19" x14ac:dyDescent="0.25">
      <c r="R8922"/>
      <c r="S8922"/>
    </row>
    <row r="8923" spans="18:19" x14ac:dyDescent="0.25">
      <c r="R8923"/>
      <c r="S8923"/>
    </row>
    <row r="8924" spans="18:19" x14ac:dyDescent="0.25">
      <c r="R8924"/>
      <c r="S8924"/>
    </row>
    <row r="8925" spans="18:19" x14ac:dyDescent="0.25">
      <c r="R8925"/>
      <c r="S8925"/>
    </row>
    <row r="8926" spans="18:19" x14ac:dyDescent="0.25">
      <c r="R8926"/>
      <c r="S8926"/>
    </row>
    <row r="8927" spans="18:19" x14ac:dyDescent="0.25">
      <c r="R8927"/>
      <c r="S8927"/>
    </row>
    <row r="8928" spans="18:19" x14ac:dyDescent="0.25">
      <c r="R8928"/>
      <c r="S8928"/>
    </row>
    <row r="8929" spans="18:19" x14ac:dyDescent="0.25">
      <c r="R8929"/>
      <c r="S8929"/>
    </row>
    <row r="8930" spans="18:19" x14ac:dyDescent="0.25">
      <c r="R8930"/>
      <c r="S8930"/>
    </row>
    <row r="8931" spans="18:19" x14ac:dyDescent="0.25">
      <c r="R8931"/>
      <c r="S8931"/>
    </row>
    <row r="8932" spans="18:19" x14ac:dyDescent="0.25">
      <c r="R8932"/>
      <c r="S8932"/>
    </row>
    <row r="8933" spans="18:19" x14ac:dyDescent="0.25">
      <c r="R8933"/>
      <c r="S8933"/>
    </row>
    <row r="8934" spans="18:19" x14ac:dyDescent="0.25">
      <c r="R8934"/>
      <c r="S8934"/>
    </row>
    <row r="8935" spans="18:19" x14ac:dyDescent="0.25">
      <c r="R8935"/>
      <c r="S8935"/>
    </row>
    <row r="8936" spans="18:19" x14ac:dyDescent="0.25">
      <c r="R8936"/>
      <c r="S8936"/>
    </row>
    <row r="8937" spans="18:19" x14ac:dyDescent="0.25">
      <c r="R8937"/>
      <c r="S8937"/>
    </row>
    <row r="8938" spans="18:19" x14ac:dyDescent="0.25">
      <c r="R8938"/>
      <c r="S8938"/>
    </row>
    <row r="8939" spans="18:19" x14ac:dyDescent="0.25">
      <c r="R8939"/>
      <c r="S8939"/>
    </row>
    <row r="8940" spans="18:19" x14ac:dyDescent="0.25">
      <c r="R8940"/>
      <c r="S8940"/>
    </row>
    <row r="8941" spans="18:19" x14ac:dyDescent="0.25">
      <c r="R8941"/>
      <c r="S8941"/>
    </row>
    <row r="8942" spans="18:19" x14ac:dyDescent="0.25">
      <c r="R8942"/>
      <c r="S8942"/>
    </row>
    <row r="8943" spans="18:19" x14ac:dyDescent="0.25">
      <c r="R8943"/>
      <c r="S8943"/>
    </row>
    <row r="8944" spans="18:19" x14ac:dyDescent="0.25">
      <c r="R8944"/>
      <c r="S8944"/>
    </row>
    <row r="8945" spans="18:19" x14ac:dyDescent="0.25">
      <c r="R8945"/>
      <c r="S8945"/>
    </row>
    <row r="8946" spans="18:19" x14ac:dyDescent="0.25">
      <c r="R8946"/>
      <c r="S8946"/>
    </row>
    <row r="8947" spans="18:19" x14ac:dyDescent="0.25">
      <c r="R8947"/>
      <c r="S8947"/>
    </row>
    <row r="8948" spans="18:19" x14ac:dyDescent="0.25">
      <c r="R8948"/>
      <c r="S8948"/>
    </row>
    <row r="8949" spans="18:19" x14ac:dyDescent="0.25">
      <c r="R8949"/>
      <c r="S8949"/>
    </row>
    <row r="8950" spans="18:19" x14ac:dyDescent="0.25">
      <c r="R8950"/>
      <c r="S8950"/>
    </row>
    <row r="8951" spans="18:19" x14ac:dyDescent="0.25">
      <c r="R8951"/>
      <c r="S8951"/>
    </row>
    <row r="8952" spans="18:19" x14ac:dyDescent="0.25">
      <c r="R8952"/>
      <c r="S8952"/>
    </row>
    <row r="8953" spans="18:19" x14ac:dyDescent="0.25">
      <c r="R8953"/>
      <c r="S8953"/>
    </row>
    <row r="8954" spans="18:19" x14ac:dyDescent="0.25">
      <c r="R8954"/>
      <c r="S8954"/>
    </row>
    <row r="8955" spans="18:19" x14ac:dyDescent="0.25">
      <c r="R8955"/>
      <c r="S8955"/>
    </row>
    <row r="8956" spans="18:19" x14ac:dyDescent="0.25">
      <c r="R8956"/>
      <c r="S8956"/>
    </row>
    <row r="8957" spans="18:19" x14ac:dyDescent="0.25">
      <c r="R8957"/>
      <c r="S8957"/>
    </row>
    <row r="8958" spans="18:19" x14ac:dyDescent="0.25">
      <c r="R8958"/>
      <c r="S8958"/>
    </row>
    <row r="8959" spans="18:19" x14ac:dyDescent="0.25">
      <c r="R8959"/>
      <c r="S8959"/>
    </row>
    <row r="8960" spans="18:19" x14ac:dyDescent="0.25">
      <c r="R8960"/>
      <c r="S8960"/>
    </row>
    <row r="8961" spans="18:19" x14ac:dyDescent="0.25">
      <c r="R8961"/>
      <c r="S8961"/>
    </row>
    <row r="8962" spans="18:19" x14ac:dyDescent="0.25">
      <c r="R8962"/>
      <c r="S8962"/>
    </row>
    <row r="8963" spans="18:19" x14ac:dyDescent="0.25">
      <c r="R8963"/>
      <c r="S8963"/>
    </row>
    <row r="8964" spans="18:19" x14ac:dyDescent="0.25">
      <c r="R8964"/>
      <c r="S8964"/>
    </row>
    <row r="8965" spans="18:19" x14ac:dyDescent="0.25">
      <c r="R8965"/>
      <c r="S8965"/>
    </row>
    <row r="8966" spans="18:19" x14ac:dyDescent="0.25">
      <c r="R8966"/>
      <c r="S8966"/>
    </row>
    <row r="8967" spans="18:19" x14ac:dyDescent="0.25">
      <c r="R8967"/>
      <c r="S8967"/>
    </row>
    <row r="8968" spans="18:19" x14ac:dyDescent="0.25">
      <c r="R8968"/>
      <c r="S8968"/>
    </row>
    <row r="8969" spans="18:19" x14ac:dyDescent="0.25">
      <c r="R8969"/>
      <c r="S8969"/>
    </row>
    <row r="8970" spans="18:19" x14ac:dyDescent="0.25">
      <c r="R8970"/>
      <c r="S8970"/>
    </row>
    <row r="8971" spans="18:19" x14ac:dyDescent="0.25">
      <c r="R8971"/>
      <c r="S8971"/>
    </row>
    <row r="8972" spans="18:19" x14ac:dyDescent="0.25">
      <c r="R8972"/>
      <c r="S8972"/>
    </row>
    <row r="8973" spans="18:19" x14ac:dyDescent="0.25">
      <c r="R8973"/>
      <c r="S8973"/>
    </row>
    <row r="8974" spans="18:19" x14ac:dyDescent="0.25">
      <c r="R8974"/>
      <c r="S8974"/>
    </row>
    <row r="8975" spans="18:19" x14ac:dyDescent="0.25">
      <c r="R8975"/>
      <c r="S8975"/>
    </row>
    <row r="8976" spans="18:19" x14ac:dyDescent="0.25">
      <c r="R8976"/>
      <c r="S8976"/>
    </row>
    <row r="8977" spans="18:19" x14ac:dyDescent="0.25">
      <c r="R8977"/>
      <c r="S8977"/>
    </row>
    <row r="8978" spans="18:19" x14ac:dyDescent="0.25">
      <c r="R8978"/>
      <c r="S8978"/>
    </row>
    <row r="8979" spans="18:19" x14ac:dyDescent="0.25">
      <c r="R8979"/>
      <c r="S8979"/>
    </row>
    <row r="8980" spans="18:19" x14ac:dyDescent="0.25">
      <c r="R8980"/>
      <c r="S8980"/>
    </row>
    <row r="8981" spans="18:19" x14ac:dyDescent="0.25">
      <c r="R8981"/>
      <c r="S8981"/>
    </row>
    <row r="8982" spans="18:19" x14ac:dyDescent="0.25">
      <c r="R8982"/>
      <c r="S8982"/>
    </row>
    <row r="8983" spans="18:19" x14ac:dyDescent="0.25">
      <c r="R8983"/>
      <c r="S8983"/>
    </row>
    <row r="8984" spans="18:19" x14ac:dyDescent="0.25">
      <c r="R8984"/>
      <c r="S8984"/>
    </row>
    <row r="8985" spans="18:19" x14ac:dyDescent="0.25">
      <c r="R8985"/>
      <c r="S8985"/>
    </row>
    <row r="8986" spans="18:19" x14ac:dyDescent="0.25">
      <c r="R8986"/>
      <c r="S8986"/>
    </row>
    <row r="8987" spans="18:19" x14ac:dyDescent="0.25">
      <c r="R8987"/>
      <c r="S8987"/>
    </row>
    <row r="8988" spans="18:19" x14ac:dyDescent="0.25">
      <c r="R8988"/>
      <c r="S8988"/>
    </row>
    <row r="8989" spans="18:19" x14ac:dyDescent="0.25">
      <c r="R8989"/>
      <c r="S8989"/>
    </row>
    <row r="8990" spans="18:19" x14ac:dyDescent="0.25">
      <c r="R8990"/>
      <c r="S8990"/>
    </row>
    <row r="8991" spans="18:19" x14ac:dyDescent="0.25">
      <c r="R8991"/>
      <c r="S8991"/>
    </row>
    <row r="8992" spans="18:19" x14ac:dyDescent="0.25">
      <c r="R8992"/>
      <c r="S8992"/>
    </row>
    <row r="8993" spans="18:19" x14ac:dyDescent="0.25">
      <c r="R8993"/>
      <c r="S8993"/>
    </row>
    <row r="8994" spans="18:19" x14ac:dyDescent="0.25">
      <c r="R8994"/>
      <c r="S8994"/>
    </row>
    <row r="8995" spans="18:19" x14ac:dyDescent="0.25">
      <c r="R8995"/>
      <c r="S8995"/>
    </row>
    <row r="8996" spans="18:19" x14ac:dyDescent="0.25">
      <c r="R8996"/>
      <c r="S8996"/>
    </row>
    <row r="8997" spans="18:19" x14ac:dyDescent="0.25">
      <c r="R8997"/>
      <c r="S8997"/>
    </row>
    <row r="8998" spans="18:19" x14ac:dyDescent="0.25">
      <c r="R8998"/>
      <c r="S8998"/>
    </row>
    <row r="8999" spans="18:19" x14ac:dyDescent="0.25">
      <c r="R8999"/>
      <c r="S8999"/>
    </row>
    <row r="9000" spans="18:19" x14ac:dyDescent="0.25">
      <c r="R9000"/>
      <c r="S9000"/>
    </row>
    <row r="9001" spans="18:19" x14ac:dyDescent="0.25">
      <c r="R9001"/>
      <c r="S9001"/>
    </row>
    <row r="9002" spans="18:19" x14ac:dyDescent="0.25">
      <c r="R9002"/>
      <c r="S9002"/>
    </row>
    <row r="9003" spans="18:19" x14ac:dyDescent="0.25">
      <c r="R9003"/>
      <c r="S9003"/>
    </row>
    <row r="9004" spans="18:19" x14ac:dyDescent="0.25">
      <c r="R9004"/>
      <c r="S9004"/>
    </row>
    <row r="9005" spans="18:19" x14ac:dyDescent="0.25">
      <c r="R9005"/>
      <c r="S9005"/>
    </row>
    <row r="9006" spans="18:19" x14ac:dyDescent="0.25">
      <c r="R9006"/>
      <c r="S9006"/>
    </row>
    <row r="9007" spans="18:19" x14ac:dyDescent="0.25">
      <c r="R9007"/>
      <c r="S9007"/>
    </row>
    <row r="9008" spans="18:19" x14ac:dyDescent="0.25">
      <c r="R9008"/>
      <c r="S9008"/>
    </row>
    <row r="9009" spans="18:19" x14ac:dyDescent="0.25">
      <c r="R9009"/>
      <c r="S9009"/>
    </row>
    <row r="9010" spans="18:19" x14ac:dyDescent="0.25">
      <c r="R9010"/>
      <c r="S9010"/>
    </row>
    <row r="9011" spans="18:19" x14ac:dyDescent="0.25">
      <c r="R9011"/>
      <c r="S9011"/>
    </row>
    <row r="9012" spans="18:19" x14ac:dyDescent="0.25">
      <c r="R9012"/>
      <c r="S9012"/>
    </row>
    <row r="9013" spans="18:19" x14ac:dyDescent="0.25">
      <c r="R9013"/>
      <c r="S9013"/>
    </row>
    <row r="9014" spans="18:19" x14ac:dyDescent="0.25">
      <c r="R9014"/>
      <c r="S9014"/>
    </row>
    <row r="9015" spans="18:19" x14ac:dyDescent="0.25">
      <c r="R9015"/>
      <c r="S9015"/>
    </row>
    <row r="9016" spans="18:19" x14ac:dyDescent="0.25">
      <c r="R9016"/>
      <c r="S9016"/>
    </row>
    <row r="9017" spans="18:19" x14ac:dyDescent="0.25">
      <c r="R9017"/>
      <c r="S9017"/>
    </row>
    <row r="9018" spans="18:19" x14ac:dyDescent="0.25">
      <c r="R9018"/>
      <c r="S9018"/>
    </row>
    <row r="9019" spans="18:19" x14ac:dyDescent="0.25">
      <c r="R9019"/>
      <c r="S9019"/>
    </row>
    <row r="9020" spans="18:19" x14ac:dyDescent="0.25">
      <c r="R9020"/>
      <c r="S9020"/>
    </row>
    <row r="9021" spans="18:19" x14ac:dyDescent="0.25">
      <c r="R9021"/>
      <c r="S9021"/>
    </row>
    <row r="9022" spans="18:19" x14ac:dyDescent="0.25">
      <c r="R9022"/>
      <c r="S9022"/>
    </row>
    <row r="9023" spans="18:19" x14ac:dyDescent="0.25">
      <c r="R9023"/>
      <c r="S9023"/>
    </row>
    <row r="9024" spans="18:19" x14ac:dyDescent="0.25">
      <c r="R9024"/>
      <c r="S9024"/>
    </row>
    <row r="9025" spans="18:19" x14ac:dyDescent="0.25">
      <c r="R9025"/>
      <c r="S9025"/>
    </row>
    <row r="9026" spans="18:19" x14ac:dyDescent="0.25">
      <c r="R9026"/>
      <c r="S9026"/>
    </row>
    <row r="9027" spans="18:19" x14ac:dyDescent="0.25">
      <c r="R9027"/>
      <c r="S9027"/>
    </row>
    <row r="9028" spans="18:19" x14ac:dyDescent="0.25">
      <c r="R9028"/>
      <c r="S9028"/>
    </row>
    <row r="9029" spans="18:19" x14ac:dyDescent="0.25">
      <c r="R9029"/>
      <c r="S9029"/>
    </row>
    <row r="9030" spans="18:19" x14ac:dyDescent="0.25">
      <c r="R9030"/>
      <c r="S9030"/>
    </row>
    <row r="9031" spans="18:19" x14ac:dyDescent="0.25">
      <c r="R9031"/>
      <c r="S9031"/>
    </row>
    <row r="9032" spans="18:19" x14ac:dyDescent="0.25">
      <c r="R9032"/>
      <c r="S9032"/>
    </row>
    <row r="9033" spans="18:19" x14ac:dyDescent="0.25">
      <c r="R9033"/>
      <c r="S9033"/>
    </row>
    <row r="9034" spans="18:19" x14ac:dyDescent="0.25">
      <c r="R9034"/>
      <c r="S9034"/>
    </row>
    <row r="9035" spans="18:19" x14ac:dyDescent="0.25">
      <c r="R9035"/>
      <c r="S9035"/>
    </row>
    <row r="9036" spans="18:19" x14ac:dyDescent="0.25">
      <c r="R9036"/>
      <c r="S9036"/>
    </row>
    <row r="9037" spans="18:19" x14ac:dyDescent="0.25">
      <c r="R9037"/>
      <c r="S9037"/>
    </row>
    <row r="9038" spans="18:19" x14ac:dyDescent="0.25">
      <c r="R9038"/>
      <c r="S9038"/>
    </row>
    <row r="9039" spans="18:19" x14ac:dyDescent="0.25">
      <c r="R9039"/>
      <c r="S9039"/>
    </row>
    <row r="9040" spans="18:19" x14ac:dyDescent="0.25">
      <c r="R9040"/>
      <c r="S9040"/>
    </row>
    <row r="9041" spans="18:19" x14ac:dyDescent="0.25">
      <c r="R9041"/>
      <c r="S9041"/>
    </row>
    <row r="9042" spans="18:19" x14ac:dyDescent="0.25">
      <c r="R9042"/>
      <c r="S9042"/>
    </row>
    <row r="9043" spans="18:19" x14ac:dyDescent="0.25">
      <c r="R9043"/>
      <c r="S9043"/>
    </row>
    <row r="9044" spans="18:19" x14ac:dyDescent="0.25">
      <c r="R9044"/>
      <c r="S9044"/>
    </row>
    <row r="9045" spans="18:19" x14ac:dyDescent="0.25">
      <c r="R9045"/>
      <c r="S9045"/>
    </row>
    <row r="9046" spans="18:19" x14ac:dyDescent="0.25">
      <c r="R9046"/>
      <c r="S9046"/>
    </row>
    <row r="9047" spans="18:19" x14ac:dyDescent="0.25">
      <c r="R9047"/>
      <c r="S9047"/>
    </row>
    <row r="9048" spans="18:19" x14ac:dyDescent="0.25">
      <c r="R9048"/>
      <c r="S9048"/>
    </row>
    <row r="9049" spans="18:19" x14ac:dyDescent="0.25">
      <c r="R9049"/>
      <c r="S9049"/>
    </row>
    <row r="9050" spans="18:19" x14ac:dyDescent="0.25">
      <c r="R9050"/>
      <c r="S9050"/>
    </row>
    <row r="9051" spans="18:19" x14ac:dyDescent="0.25">
      <c r="R9051"/>
      <c r="S9051"/>
    </row>
    <row r="9052" spans="18:19" x14ac:dyDescent="0.25">
      <c r="R9052"/>
      <c r="S9052"/>
    </row>
    <row r="9053" spans="18:19" x14ac:dyDescent="0.25">
      <c r="R9053"/>
      <c r="S9053"/>
    </row>
    <row r="9054" spans="18:19" x14ac:dyDescent="0.25">
      <c r="R9054"/>
      <c r="S9054"/>
    </row>
    <row r="9055" spans="18:19" x14ac:dyDescent="0.25">
      <c r="R9055"/>
      <c r="S9055"/>
    </row>
    <row r="9056" spans="18:19" x14ac:dyDescent="0.25">
      <c r="R9056"/>
      <c r="S9056"/>
    </row>
    <row r="9057" spans="18:19" x14ac:dyDescent="0.25">
      <c r="R9057"/>
      <c r="S9057"/>
    </row>
    <row r="9058" spans="18:19" x14ac:dyDescent="0.25">
      <c r="R9058"/>
      <c r="S9058"/>
    </row>
    <row r="9059" spans="18:19" x14ac:dyDescent="0.25">
      <c r="R9059"/>
      <c r="S9059"/>
    </row>
    <row r="9060" spans="18:19" x14ac:dyDescent="0.25">
      <c r="R9060"/>
      <c r="S9060"/>
    </row>
    <row r="9061" spans="18:19" x14ac:dyDescent="0.25">
      <c r="R9061"/>
      <c r="S9061"/>
    </row>
    <row r="9062" spans="18:19" x14ac:dyDescent="0.25">
      <c r="R9062"/>
      <c r="S9062"/>
    </row>
    <row r="9063" spans="18:19" x14ac:dyDescent="0.25">
      <c r="R9063"/>
      <c r="S9063"/>
    </row>
    <row r="9064" spans="18:19" x14ac:dyDescent="0.25">
      <c r="R9064"/>
      <c r="S9064"/>
    </row>
    <row r="9065" spans="18:19" x14ac:dyDescent="0.25">
      <c r="R9065"/>
      <c r="S9065"/>
    </row>
    <row r="9066" spans="18:19" x14ac:dyDescent="0.25">
      <c r="R9066"/>
      <c r="S9066"/>
    </row>
    <row r="9067" spans="18:19" x14ac:dyDescent="0.25">
      <c r="R9067"/>
      <c r="S9067"/>
    </row>
    <row r="9068" spans="18:19" x14ac:dyDescent="0.25">
      <c r="R9068"/>
      <c r="S9068"/>
    </row>
    <row r="9069" spans="18:19" x14ac:dyDescent="0.25">
      <c r="R9069"/>
      <c r="S9069"/>
    </row>
    <row r="9070" spans="18:19" x14ac:dyDescent="0.25">
      <c r="R9070"/>
      <c r="S9070"/>
    </row>
    <row r="9071" spans="18:19" x14ac:dyDescent="0.25">
      <c r="R9071"/>
      <c r="S9071"/>
    </row>
    <row r="9072" spans="18:19" x14ac:dyDescent="0.25">
      <c r="R9072"/>
      <c r="S9072"/>
    </row>
    <row r="9073" spans="18:19" x14ac:dyDescent="0.25">
      <c r="R9073"/>
      <c r="S9073"/>
    </row>
    <row r="9074" spans="18:19" x14ac:dyDescent="0.25">
      <c r="R9074"/>
      <c r="S9074"/>
    </row>
    <row r="9075" spans="18:19" x14ac:dyDescent="0.25">
      <c r="R9075"/>
      <c r="S9075"/>
    </row>
    <row r="9076" spans="18:19" x14ac:dyDescent="0.25">
      <c r="R9076"/>
      <c r="S9076"/>
    </row>
    <row r="9077" spans="18:19" x14ac:dyDescent="0.25">
      <c r="R9077"/>
      <c r="S9077"/>
    </row>
    <row r="9078" spans="18:19" x14ac:dyDescent="0.25">
      <c r="R9078"/>
      <c r="S9078"/>
    </row>
    <row r="9079" spans="18:19" x14ac:dyDescent="0.25">
      <c r="R9079"/>
      <c r="S9079"/>
    </row>
    <row r="9080" spans="18:19" x14ac:dyDescent="0.25">
      <c r="R9080"/>
      <c r="S9080"/>
    </row>
    <row r="9081" spans="18:19" x14ac:dyDescent="0.25">
      <c r="R9081"/>
      <c r="S9081"/>
    </row>
    <row r="9082" spans="18:19" x14ac:dyDescent="0.25">
      <c r="R9082"/>
      <c r="S9082"/>
    </row>
    <row r="9083" spans="18:19" x14ac:dyDescent="0.25">
      <c r="R9083"/>
      <c r="S9083"/>
    </row>
    <row r="9084" spans="18:19" x14ac:dyDescent="0.25">
      <c r="R9084"/>
      <c r="S9084"/>
    </row>
    <row r="9085" spans="18:19" x14ac:dyDescent="0.25">
      <c r="R9085"/>
      <c r="S9085"/>
    </row>
    <row r="9086" spans="18:19" x14ac:dyDescent="0.25">
      <c r="R9086"/>
      <c r="S9086"/>
    </row>
    <row r="9087" spans="18:19" x14ac:dyDescent="0.25">
      <c r="R9087"/>
      <c r="S9087"/>
    </row>
    <row r="9088" spans="18:19" x14ac:dyDescent="0.25">
      <c r="R9088"/>
      <c r="S9088"/>
    </row>
    <row r="9089" spans="18:19" x14ac:dyDescent="0.25">
      <c r="R9089"/>
      <c r="S9089"/>
    </row>
    <row r="9090" spans="18:19" x14ac:dyDescent="0.25">
      <c r="R9090"/>
      <c r="S9090"/>
    </row>
    <row r="9091" spans="18:19" x14ac:dyDescent="0.25">
      <c r="R9091"/>
      <c r="S9091"/>
    </row>
    <row r="9092" spans="18:19" x14ac:dyDescent="0.25">
      <c r="R9092"/>
      <c r="S9092"/>
    </row>
    <row r="9093" spans="18:19" x14ac:dyDescent="0.25">
      <c r="R9093"/>
      <c r="S9093"/>
    </row>
    <row r="9094" spans="18:19" x14ac:dyDescent="0.25">
      <c r="R9094"/>
      <c r="S9094"/>
    </row>
    <row r="9095" spans="18:19" x14ac:dyDescent="0.25">
      <c r="R9095"/>
      <c r="S9095"/>
    </row>
    <row r="9096" spans="18:19" x14ac:dyDescent="0.25">
      <c r="R9096"/>
      <c r="S9096"/>
    </row>
    <row r="9097" spans="18:19" x14ac:dyDescent="0.25">
      <c r="R9097"/>
      <c r="S9097"/>
    </row>
    <row r="9098" spans="18:19" x14ac:dyDescent="0.25">
      <c r="R9098"/>
      <c r="S9098"/>
    </row>
    <row r="9099" spans="18:19" x14ac:dyDescent="0.25">
      <c r="R9099"/>
      <c r="S9099"/>
    </row>
    <row r="9100" spans="18:19" x14ac:dyDescent="0.25">
      <c r="R9100"/>
      <c r="S9100"/>
    </row>
    <row r="9101" spans="18:19" x14ac:dyDescent="0.25">
      <c r="R9101"/>
      <c r="S9101"/>
    </row>
    <row r="9102" spans="18:19" x14ac:dyDescent="0.25">
      <c r="R9102"/>
      <c r="S9102"/>
    </row>
    <row r="9103" spans="18:19" x14ac:dyDescent="0.25">
      <c r="R9103"/>
      <c r="S9103"/>
    </row>
    <row r="9104" spans="18:19" x14ac:dyDescent="0.25">
      <c r="R9104"/>
      <c r="S9104"/>
    </row>
    <row r="9105" spans="18:19" x14ac:dyDescent="0.25">
      <c r="R9105"/>
      <c r="S9105"/>
    </row>
    <row r="9106" spans="18:19" x14ac:dyDescent="0.25">
      <c r="R9106"/>
      <c r="S9106"/>
    </row>
    <row r="9107" spans="18:19" x14ac:dyDescent="0.25">
      <c r="R9107"/>
      <c r="S9107"/>
    </row>
    <row r="9108" spans="18:19" x14ac:dyDescent="0.25">
      <c r="R9108"/>
      <c r="S9108"/>
    </row>
    <row r="9109" spans="18:19" x14ac:dyDescent="0.25">
      <c r="R9109"/>
      <c r="S9109"/>
    </row>
    <row r="9110" spans="18:19" x14ac:dyDescent="0.25">
      <c r="R9110"/>
      <c r="S9110"/>
    </row>
    <row r="9111" spans="18:19" x14ac:dyDescent="0.25">
      <c r="R9111"/>
      <c r="S9111"/>
    </row>
    <row r="9112" spans="18:19" x14ac:dyDescent="0.25">
      <c r="R9112"/>
      <c r="S9112"/>
    </row>
    <row r="9113" spans="18:19" x14ac:dyDescent="0.25">
      <c r="R9113"/>
      <c r="S9113"/>
    </row>
    <row r="9114" spans="18:19" x14ac:dyDescent="0.25">
      <c r="R9114"/>
      <c r="S9114"/>
    </row>
    <row r="9115" spans="18:19" x14ac:dyDescent="0.25">
      <c r="R9115"/>
      <c r="S9115"/>
    </row>
    <row r="9116" spans="18:19" x14ac:dyDescent="0.25">
      <c r="R9116"/>
      <c r="S9116"/>
    </row>
    <row r="9117" spans="18:19" x14ac:dyDescent="0.25">
      <c r="R9117"/>
      <c r="S9117"/>
    </row>
    <row r="9118" spans="18:19" x14ac:dyDescent="0.25">
      <c r="R9118"/>
      <c r="S9118"/>
    </row>
    <row r="9119" spans="18:19" x14ac:dyDescent="0.25">
      <c r="R9119"/>
      <c r="S9119"/>
    </row>
    <row r="9120" spans="18:19" x14ac:dyDescent="0.25">
      <c r="R9120"/>
      <c r="S9120"/>
    </row>
    <row r="9121" spans="18:19" x14ac:dyDescent="0.25">
      <c r="R9121"/>
      <c r="S9121"/>
    </row>
    <row r="9122" spans="18:19" x14ac:dyDescent="0.25">
      <c r="R9122"/>
      <c r="S9122"/>
    </row>
    <row r="9123" spans="18:19" x14ac:dyDescent="0.25">
      <c r="R9123"/>
      <c r="S9123"/>
    </row>
    <row r="9124" spans="18:19" x14ac:dyDescent="0.25">
      <c r="R9124"/>
      <c r="S9124"/>
    </row>
    <row r="9125" spans="18:19" x14ac:dyDescent="0.25">
      <c r="R9125"/>
      <c r="S9125"/>
    </row>
    <row r="9126" spans="18:19" x14ac:dyDescent="0.25">
      <c r="R9126"/>
      <c r="S9126"/>
    </row>
    <row r="9127" spans="18:19" x14ac:dyDescent="0.25">
      <c r="R9127"/>
      <c r="S9127"/>
    </row>
    <row r="9128" spans="18:19" x14ac:dyDescent="0.25">
      <c r="R9128"/>
      <c r="S9128"/>
    </row>
    <row r="9129" spans="18:19" x14ac:dyDescent="0.25">
      <c r="R9129"/>
      <c r="S9129"/>
    </row>
    <row r="9130" spans="18:19" x14ac:dyDescent="0.25">
      <c r="R9130"/>
      <c r="S9130"/>
    </row>
    <row r="9131" spans="18:19" x14ac:dyDescent="0.25">
      <c r="R9131"/>
      <c r="S9131"/>
    </row>
    <row r="9132" spans="18:19" x14ac:dyDescent="0.25">
      <c r="R9132"/>
      <c r="S9132"/>
    </row>
    <row r="9133" spans="18:19" x14ac:dyDescent="0.25">
      <c r="R9133"/>
      <c r="S9133"/>
    </row>
    <row r="9134" spans="18:19" x14ac:dyDescent="0.25">
      <c r="R9134"/>
      <c r="S9134"/>
    </row>
    <row r="9135" spans="18:19" x14ac:dyDescent="0.25">
      <c r="R9135"/>
      <c r="S9135"/>
    </row>
    <row r="9136" spans="18:19" x14ac:dyDescent="0.25">
      <c r="R9136"/>
      <c r="S9136"/>
    </row>
    <row r="9137" spans="18:19" x14ac:dyDescent="0.25">
      <c r="R9137"/>
      <c r="S9137"/>
    </row>
    <row r="9138" spans="18:19" x14ac:dyDescent="0.25">
      <c r="R9138"/>
      <c r="S9138"/>
    </row>
    <row r="9139" spans="18:19" x14ac:dyDescent="0.25">
      <c r="R9139"/>
      <c r="S9139"/>
    </row>
    <row r="9140" spans="18:19" x14ac:dyDescent="0.25">
      <c r="R9140"/>
      <c r="S9140"/>
    </row>
    <row r="9141" spans="18:19" x14ac:dyDescent="0.25">
      <c r="R9141"/>
      <c r="S9141"/>
    </row>
    <row r="9142" spans="18:19" x14ac:dyDescent="0.25">
      <c r="R9142"/>
      <c r="S9142"/>
    </row>
    <row r="9143" spans="18:19" x14ac:dyDescent="0.25">
      <c r="R9143"/>
      <c r="S9143"/>
    </row>
    <row r="9144" spans="18:19" x14ac:dyDescent="0.25">
      <c r="R9144"/>
      <c r="S9144"/>
    </row>
    <row r="9145" spans="18:19" x14ac:dyDescent="0.25">
      <c r="R9145"/>
      <c r="S9145"/>
    </row>
    <row r="9146" spans="18:19" x14ac:dyDescent="0.25">
      <c r="R9146"/>
      <c r="S9146"/>
    </row>
    <row r="9147" spans="18:19" x14ac:dyDescent="0.25">
      <c r="R9147"/>
      <c r="S9147"/>
    </row>
    <row r="9148" spans="18:19" x14ac:dyDescent="0.25">
      <c r="R9148"/>
      <c r="S9148"/>
    </row>
    <row r="9149" spans="18:19" x14ac:dyDescent="0.25">
      <c r="R9149"/>
      <c r="S9149"/>
    </row>
    <row r="9150" spans="18:19" x14ac:dyDescent="0.25">
      <c r="R9150"/>
      <c r="S9150"/>
    </row>
    <row r="9151" spans="18:19" x14ac:dyDescent="0.25">
      <c r="R9151"/>
      <c r="S9151"/>
    </row>
    <row r="9152" spans="18:19" x14ac:dyDescent="0.25">
      <c r="R9152"/>
      <c r="S9152"/>
    </row>
    <row r="9153" spans="18:19" x14ac:dyDescent="0.25">
      <c r="R9153"/>
      <c r="S9153"/>
    </row>
    <row r="9154" spans="18:19" x14ac:dyDescent="0.25">
      <c r="R9154"/>
      <c r="S9154"/>
    </row>
    <row r="9155" spans="18:19" x14ac:dyDescent="0.25">
      <c r="R9155"/>
      <c r="S9155"/>
    </row>
    <row r="9156" spans="18:19" x14ac:dyDescent="0.25">
      <c r="R9156"/>
      <c r="S9156"/>
    </row>
    <row r="9157" spans="18:19" x14ac:dyDescent="0.25">
      <c r="R9157"/>
      <c r="S9157"/>
    </row>
    <row r="9158" spans="18:19" x14ac:dyDescent="0.25">
      <c r="R9158"/>
      <c r="S9158"/>
    </row>
    <row r="9159" spans="18:19" x14ac:dyDescent="0.25">
      <c r="R9159"/>
      <c r="S9159"/>
    </row>
    <row r="9160" spans="18:19" x14ac:dyDescent="0.25">
      <c r="R9160"/>
      <c r="S9160"/>
    </row>
    <row r="9161" spans="18:19" x14ac:dyDescent="0.25">
      <c r="R9161"/>
      <c r="S9161"/>
    </row>
    <row r="9162" spans="18:19" x14ac:dyDescent="0.25">
      <c r="R9162"/>
      <c r="S9162"/>
    </row>
    <row r="9163" spans="18:19" x14ac:dyDescent="0.25">
      <c r="R9163"/>
      <c r="S9163"/>
    </row>
    <row r="9164" spans="18:19" x14ac:dyDescent="0.25">
      <c r="R9164"/>
      <c r="S9164"/>
    </row>
    <row r="9165" spans="18:19" x14ac:dyDescent="0.25">
      <c r="R9165"/>
      <c r="S9165"/>
    </row>
    <row r="9166" spans="18:19" x14ac:dyDescent="0.25">
      <c r="R9166"/>
      <c r="S9166"/>
    </row>
    <row r="9167" spans="18:19" x14ac:dyDescent="0.25">
      <c r="R9167"/>
      <c r="S9167"/>
    </row>
    <row r="9168" spans="18:19" x14ac:dyDescent="0.25">
      <c r="R9168"/>
      <c r="S9168"/>
    </row>
    <row r="9169" spans="18:19" x14ac:dyDescent="0.25">
      <c r="R9169"/>
      <c r="S9169"/>
    </row>
    <row r="9170" spans="18:19" x14ac:dyDescent="0.25">
      <c r="R9170"/>
      <c r="S9170"/>
    </row>
    <row r="9171" spans="18:19" x14ac:dyDescent="0.25">
      <c r="R9171"/>
      <c r="S9171"/>
    </row>
    <row r="9172" spans="18:19" x14ac:dyDescent="0.25">
      <c r="R9172"/>
      <c r="S9172"/>
    </row>
    <row r="9173" spans="18:19" x14ac:dyDescent="0.25">
      <c r="R9173"/>
      <c r="S9173"/>
    </row>
    <row r="9174" spans="18:19" x14ac:dyDescent="0.25">
      <c r="R9174"/>
      <c r="S9174"/>
    </row>
    <row r="9175" spans="18:19" x14ac:dyDescent="0.25">
      <c r="R9175"/>
      <c r="S9175"/>
    </row>
    <row r="9176" spans="18:19" x14ac:dyDescent="0.25">
      <c r="R9176"/>
      <c r="S9176"/>
    </row>
    <row r="9177" spans="18:19" x14ac:dyDescent="0.25">
      <c r="R9177"/>
      <c r="S9177"/>
    </row>
    <row r="9178" spans="18:19" x14ac:dyDescent="0.25">
      <c r="R9178"/>
      <c r="S9178"/>
    </row>
    <row r="9179" spans="18:19" x14ac:dyDescent="0.25">
      <c r="R9179"/>
      <c r="S9179"/>
    </row>
    <row r="9180" spans="18:19" x14ac:dyDescent="0.25">
      <c r="R9180"/>
      <c r="S9180"/>
    </row>
    <row r="9181" spans="18:19" x14ac:dyDescent="0.25">
      <c r="R9181"/>
      <c r="S9181"/>
    </row>
    <row r="9182" spans="18:19" x14ac:dyDescent="0.25">
      <c r="R9182"/>
      <c r="S9182"/>
    </row>
    <row r="9183" spans="18:19" x14ac:dyDescent="0.25">
      <c r="R9183"/>
      <c r="S9183"/>
    </row>
    <row r="9184" spans="18:19" x14ac:dyDescent="0.25">
      <c r="R9184"/>
      <c r="S9184"/>
    </row>
    <row r="9185" spans="18:19" x14ac:dyDescent="0.25">
      <c r="R9185"/>
      <c r="S9185"/>
    </row>
    <row r="9186" spans="18:19" x14ac:dyDescent="0.25">
      <c r="R9186"/>
      <c r="S9186"/>
    </row>
    <row r="9187" spans="18:19" x14ac:dyDescent="0.25">
      <c r="R9187"/>
      <c r="S9187"/>
    </row>
    <row r="9188" spans="18:19" x14ac:dyDescent="0.25">
      <c r="R9188"/>
      <c r="S9188"/>
    </row>
    <row r="9189" spans="18:19" x14ac:dyDescent="0.25">
      <c r="R9189"/>
      <c r="S9189"/>
    </row>
    <row r="9190" spans="18:19" x14ac:dyDescent="0.25">
      <c r="R9190"/>
      <c r="S9190"/>
    </row>
    <row r="9191" spans="18:19" x14ac:dyDescent="0.25">
      <c r="R9191"/>
      <c r="S9191"/>
    </row>
    <row r="9192" spans="18:19" x14ac:dyDescent="0.25">
      <c r="R9192"/>
      <c r="S9192"/>
    </row>
    <row r="9193" spans="18:19" x14ac:dyDescent="0.25">
      <c r="R9193"/>
      <c r="S9193"/>
    </row>
    <row r="9194" spans="18:19" x14ac:dyDescent="0.25">
      <c r="R9194"/>
      <c r="S9194"/>
    </row>
    <row r="9195" spans="18:19" x14ac:dyDescent="0.25">
      <c r="R9195"/>
      <c r="S9195"/>
    </row>
    <row r="9196" spans="18:19" x14ac:dyDescent="0.25">
      <c r="R9196"/>
      <c r="S9196"/>
    </row>
    <row r="9197" spans="18:19" x14ac:dyDescent="0.25">
      <c r="R9197"/>
      <c r="S9197"/>
    </row>
    <row r="9198" spans="18:19" x14ac:dyDescent="0.25">
      <c r="R9198"/>
      <c r="S9198"/>
    </row>
    <row r="9199" spans="18:19" x14ac:dyDescent="0.25">
      <c r="R9199"/>
      <c r="S9199"/>
    </row>
    <row r="9200" spans="18:19" x14ac:dyDescent="0.25">
      <c r="R9200"/>
      <c r="S9200"/>
    </row>
    <row r="9201" spans="18:19" x14ac:dyDescent="0.25">
      <c r="R9201"/>
      <c r="S9201"/>
    </row>
    <row r="9202" spans="18:19" x14ac:dyDescent="0.25">
      <c r="R9202"/>
      <c r="S9202"/>
    </row>
    <row r="9203" spans="18:19" x14ac:dyDescent="0.25">
      <c r="R9203"/>
      <c r="S9203"/>
    </row>
    <row r="9204" spans="18:19" x14ac:dyDescent="0.25">
      <c r="R9204"/>
      <c r="S9204"/>
    </row>
    <row r="9205" spans="18:19" x14ac:dyDescent="0.25">
      <c r="R9205"/>
      <c r="S9205"/>
    </row>
    <row r="9206" spans="18:19" x14ac:dyDescent="0.25">
      <c r="R9206"/>
      <c r="S9206"/>
    </row>
    <row r="9207" spans="18:19" x14ac:dyDescent="0.25">
      <c r="R9207"/>
      <c r="S9207"/>
    </row>
    <row r="9208" spans="18:19" x14ac:dyDescent="0.25">
      <c r="R9208"/>
      <c r="S9208"/>
    </row>
    <row r="9209" spans="18:19" x14ac:dyDescent="0.25">
      <c r="R9209"/>
      <c r="S9209"/>
    </row>
    <row r="9210" spans="18:19" x14ac:dyDescent="0.25">
      <c r="R9210"/>
      <c r="S9210"/>
    </row>
    <row r="9211" spans="18:19" x14ac:dyDescent="0.25">
      <c r="R9211"/>
      <c r="S9211"/>
    </row>
    <row r="9212" spans="18:19" x14ac:dyDescent="0.25">
      <c r="R9212"/>
      <c r="S9212"/>
    </row>
    <row r="9213" spans="18:19" x14ac:dyDescent="0.25">
      <c r="R9213"/>
      <c r="S9213"/>
    </row>
    <row r="9214" spans="18:19" x14ac:dyDescent="0.25">
      <c r="R9214"/>
      <c r="S9214"/>
    </row>
    <row r="9215" spans="18:19" x14ac:dyDescent="0.25">
      <c r="R9215"/>
      <c r="S9215"/>
    </row>
    <row r="9216" spans="18:19" x14ac:dyDescent="0.25">
      <c r="R9216"/>
      <c r="S9216"/>
    </row>
    <row r="9217" spans="18:19" x14ac:dyDescent="0.25">
      <c r="R9217"/>
      <c r="S9217"/>
    </row>
    <row r="9218" spans="18:19" x14ac:dyDescent="0.25">
      <c r="R9218"/>
      <c r="S9218"/>
    </row>
    <row r="9219" spans="18:19" x14ac:dyDescent="0.25">
      <c r="R9219"/>
      <c r="S9219"/>
    </row>
    <row r="9220" spans="18:19" x14ac:dyDescent="0.25">
      <c r="R9220"/>
      <c r="S9220"/>
    </row>
    <row r="9221" spans="18:19" x14ac:dyDescent="0.25">
      <c r="R9221"/>
      <c r="S9221"/>
    </row>
    <row r="9222" spans="18:19" x14ac:dyDescent="0.25">
      <c r="R9222"/>
      <c r="S9222"/>
    </row>
    <row r="9223" spans="18:19" x14ac:dyDescent="0.25">
      <c r="R9223"/>
      <c r="S9223"/>
    </row>
    <row r="9224" spans="18:19" x14ac:dyDescent="0.25">
      <c r="R9224"/>
      <c r="S9224"/>
    </row>
    <row r="9225" spans="18:19" x14ac:dyDescent="0.25">
      <c r="R9225"/>
      <c r="S9225"/>
    </row>
    <row r="9226" spans="18:19" x14ac:dyDescent="0.25">
      <c r="R9226"/>
      <c r="S9226"/>
    </row>
    <row r="9227" spans="18:19" x14ac:dyDescent="0.25">
      <c r="R9227"/>
      <c r="S9227"/>
    </row>
    <row r="9228" spans="18:19" x14ac:dyDescent="0.25">
      <c r="R9228"/>
      <c r="S9228"/>
    </row>
    <row r="9229" spans="18:19" x14ac:dyDescent="0.25">
      <c r="R9229"/>
      <c r="S9229"/>
    </row>
    <row r="9230" spans="18:19" x14ac:dyDescent="0.25">
      <c r="R9230"/>
      <c r="S9230"/>
    </row>
    <row r="9231" spans="18:19" x14ac:dyDescent="0.25">
      <c r="R9231"/>
      <c r="S9231"/>
    </row>
    <row r="9232" spans="18:19" x14ac:dyDescent="0.25">
      <c r="R9232"/>
      <c r="S9232"/>
    </row>
    <row r="9233" spans="18:19" x14ac:dyDescent="0.25">
      <c r="R9233"/>
      <c r="S9233"/>
    </row>
    <row r="9234" spans="18:19" x14ac:dyDescent="0.25">
      <c r="R9234"/>
      <c r="S9234"/>
    </row>
    <row r="9235" spans="18:19" x14ac:dyDescent="0.25">
      <c r="R9235"/>
      <c r="S9235"/>
    </row>
    <row r="9236" spans="18:19" x14ac:dyDescent="0.25">
      <c r="R9236"/>
      <c r="S9236"/>
    </row>
    <row r="9237" spans="18:19" x14ac:dyDescent="0.25">
      <c r="R9237"/>
      <c r="S9237"/>
    </row>
    <row r="9238" spans="18:19" x14ac:dyDescent="0.25">
      <c r="R9238"/>
      <c r="S9238"/>
    </row>
    <row r="9239" spans="18:19" x14ac:dyDescent="0.25">
      <c r="R9239"/>
      <c r="S9239"/>
    </row>
    <row r="9240" spans="18:19" x14ac:dyDescent="0.25">
      <c r="R9240"/>
      <c r="S9240"/>
    </row>
    <row r="9241" spans="18:19" x14ac:dyDescent="0.25">
      <c r="R9241"/>
      <c r="S9241"/>
    </row>
    <row r="9242" spans="18:19" x14ac:dyDescent="0.25">
      <c r="R9242"/>
      <c r="S9242"/>
    </row>
    <row r="9243" spans="18:19" x14ac:dyDescent="0.25">
      <c r="R9243"/>
      <c r="S9243"/>
    </row>
    <row r="9244" spans="18:19" x14ac:dyDescent="0.25">
      <c r="R9244"/>
      <c r="S9244"/>
    </row>
    <row r="9245" spans="18:19" x14ac:dyDescent="0.25">
      <c r="R9245"/>
      <c r="S9245"/>
    </row>
    <row r="9246" spans="18:19" x14ac:dyDescent="0.25">
      <c r="R9246"/>
      <c r="S9246"/>
    </row>
    <row r="9247" spans="18:19" x14ac:dyDescent="0.25">
      <c r="R9247"/>
      <c r="S9247"/>
    </row>
    <row r="9248" spans="18:19" x14ac:dyDescent="0.25">
      <c r="R9248"/>
      <c r="S9248"/>
    </row>
    <row r="9249" spans="18:19" x14ac:dyDescent="0.25">
      <c r="R9249"/>
      <c r="S9249"/>
    </row>
    <row r="9250" spans="18:19" x14ac:dyDescent="0.25">
      <c r="R9250"/>
      <c r="S9250"/>
    </row>
    <row r="9251" spans="18:19" x14ac:dyDescent="0.25">
      <c r="R9251"/>
      <c r="S9251"/>
    </row>
    <row r="9252" spans="18:19" x14ac:dyDescent="0.25">
      <c r="R9252"/>
      <c r="S9252"/>
    </row>
    <row r="9253" spans="18:19" x14ac:dyDescent="0.25">
      <c r="R9253"/>
      <c r="S9253"/>
    </row>
    <row r="9254" spans="18:19" x14ac:dyDescent="0.25">
      <c r="R9254"/>
      <c r="S9254"/>
    </row>
    <row r="9255" spans="18:19" x14ac:dyDescent="0.25">
      <c r="R9255"/>
      <c r="S9255"/>
    </row>
    <row r="9256" spans="18:19" x14ac:dyDescent="0.25">
      <c r="R9256"/>
      <c r="S9256"/>
    </row>
    <row r="9257" spans="18:19" x14ac:dyDescent="0.25">
      <c r="R9257"/>
      <c r="S9257"/>
    </row>
    <row r="9258" spans="18:19" x14ac:dyDescent="0.25">
      <c r="R9258"/>
      <c r="S9258"/>
    </row>
    <row r="9259" spans="18:19" x14ac:dyDescent="0.25">
      <c r="R9259"/>
      <c r="S9259"/>
    </row>
    <row r="9260" spans="18:19" x14ac:dyDescent="0.25">
      <c r="R9260"/>
      <c r="S9260"/>
    </row>
    <row r="9261" spans="18:19" x14ac:dyDescent="0.25">
      <c r="R9261"/>
      <c r="S9261"/>
    </row>
    <row r="9262" spans="18:19" x14ac:dyDescent="0.25">
      <c r="R9262"/>
      <c r="S9262"/>
    </row>
    <row r="9263" spans="18:19" x14ac:dyDescent="0.25">
      <c r="R9263"/>
      <c r="S9263"/>
    </row>
    <row r="9264" spans="18:19" x14ac:dyDescent="0.25">
      <c r="R9264"/>
      <c r="S9264"/>
    </row>
    <row r="9265" spans="18:19" x14ac:dyDescent="0.25">
      <c r="R9265"/>
      <c r="S9265"/>
    </row>
    <row r="9266" spans="18:19" x14ac:dyDescent="0.25">
      <c r="R9266"/>
      <c r="S9266"/>
    </row>
    <row r="9267" spans="18:19" x14ac:dyDescent="0.25">
      <c r="R9267"/>
      <c r="S9267"/>
    </row>
    <row r="9268" spans="18:19" x14ac:dyDescent="0.25">
      <c r="R9268"/>
      <c r="S9268"/>
    </row>
    <row r="9269" spans="18:19" x14ac:dyDescent="0.25">
      <c r="R9269"/>
      <c r="S9269"/>
    </row>
    <row r="9270" spans="18:19" x14ac:dyDescent="0.25">
      <c r="R9270"/>
      <c r="S9270"/>
    </row>
    <row r="9271" spans="18:19" x14ac:dyDescent="0.25">
      <c r="R9271"/>
      <c r="S9271"/>
    </row>
    <row r="9272" spans="18:19" x14ac:dyDescent="0.25">
      <c r="R9272"/>
      <c r="S9272"/>
    </row>
    <row r="9273" spans="18:19" x14ac:dyDescent="0.25">
      <c r="R9273"/>
      <c r="S9273"/>
    </row>
    <row r="9274" spans="18:19" x14ac:dyDescent="0.25">
      <c r="R9274"/>
      <c r="S9274"/>
    </row>
    <row r="9275" spans="18:19" x14ac:dyDescent="0.25">
      <c r="R9275"/>
      <c r="S9275"/>
    </row>
    <row r="9276" spans="18:19" x14ac:dyDescent="0.25">
      <c r="R9276"/>
      <c r="S9276"/>
    </row>
    <row r="9277" spans="18:19" x14ac:dyDescent="0.25">
      <c r="R9277"/>
      <c r="S9277"/>
    </row>
    <row r="9278" spans="18:19" x14ac:dyDescent="0.25">
      <c r="R9278"/>
      <c r="S9278"/>
    </row>
    <row r="9279" spans="18:19" x14ac:dyDescent="0.25">
      <c r="R9279"/>
      <c r="S9279"/>
    </row>
    <row r="9280" spans="18:19" x14ac:dyDescent="0.25">
      <c r="R9280"/>
      <c r="S9280"/>
    </row>
    <row r="9281" spans="18:19" x14ac:dyDescent="0.25">
      <c r="R9281"/>
      <c r="S9281"/>
    </row>
    <row r="9282" spans="18:19" x14ac:dyDescent="0.25">
      <c r="R9282"/>
      <c r="S9282"/>
    </row>
    <row r="9283" spans="18:19" x14ac:dyDescent="0.25">
      <c r="R9283"/>
      <c r="S9283"/>
    </row>
    <row r="9284" spans="18:19" x14ac:dyDescent="0.25">
      <c r="R9284"/>
      <c r="S9284"/>
    </row>
    <row r="9285" spans="18:19" x14ac:dyDescent="0.25">
      <c r="R9285"/>
      <c r="S9285"/>
    </row>
    <row r="9286" spans="18:19" x14ac:dyDescent="0.25">
      <c r="R9286"/>
      <c r="S9286"/>
    </row>
    <row r="9287" spans="18:19" x14ac:dyDescent="0.25">
      <c r="R9287"/>
      <c r="S9287"/>
    </row>
    <row r="9288" spans="18:19" x14ac:dyDescent="0.25">
      <c r="R9288"/>
      <c r="S9288"/>
    </row>
    <row r="9289" spans="18:19" x14ac:dyDescent="0.25">
      <c r="R9289"/>
      <c r="S9289"/>
    </row>
    <row r="9290" spans="18:19" x14ac:dyDescent="0.25">
      <c r="R9290"/>
      <c r="S9290"/>
    </row>
    <row r="9291" spans="18:19" x14ac:dyDescent="0.25">
      <c r="R9291"/>
      <c r="S9291"/>
    </row>
    <row r="9292" spans="18:19" x14ac:dyDescent="0.25">
      <c r="R9292"/>
      <c r="S9292"/>
    </row>
    <row r="9293" spans="18:19" x14ac:dyDescent="0.25">
      <c r="R9293"/>
      <c r="S9293"/>
    </row>
    <row r="9294" spans="18:19" x14ac:dyDescent="0.25">
      <c r="R9294"/>
      <c r="S9294"/>
    </row>
    <row r="9295" spans="18:19" x14ac:dyDescent="0.25">
      <c r="R9295"/>
      <c r="S9295"/>
    </row>
    <row r="9296" spans="18:19" x14ac:dyDescent="0.25">
      <c r="R9296"/>
      <c r="S9296"/>
    </row>
    <row r="9297" spans="18:19" x14ac:dyDescent="0.25">
      <c r="R9297"/>
      <c r="S9297"/>
    </row>
    <row r="9298" spans="18:19" x14ac:dyDescent="0.25">
      <c r="R9298"/>
      <c r="S9298"/>
    </row>
    <row r="9299" spans="18:19" x14ac:dyDescent="0.25">
      <c r="R9299"/>
      <c r="S9299"/>
    </row>
    <row r="9300" spans="18:19" x14ac:dyDescent="0.25">
      <c r="R9300"/>
      <c r="S9300"/>
    </row>
    <row r="9301" spans="18:19" x14ac:dyDescent="0.25">
      <c r="R9301"/>
      <c r="S9301"/>
    </row>
    <row r="9302" spans="18:19" x14ac:dyDescent="0.25">
      <c r="R9302"/>
      <c r="S9302"/>
    </row>
    <row r="9303" spans="18:19" x14ac:dyDescent="0.25">
      <c r="R9303"/>
      <c r="S9303"/>
    </row>
    <row r="9304" spans="18:19" x14ac:dyDescent="0.25">
      <c r="R9304"/>
      <c r="S9304"/>
    </row>
    <row r="9305" spans="18:19" x14ac:dyDescent="0.25">
      <c r="R9305"/>
      <c r="S9305"/>
    </row>
    <row r="9306" spans="18:19" x14ac:dyDescent="0.25">
      <c r="R9306"/>
      <c r="S9306"/>
    </row>
    <row r="9307" spans="18:19" x14ac:dyDescent="0.25">
      <c r="R9307"/>
      <c r="S9307"/>
    </row>
    <row r="9308" spans="18:19" x14ac:dyDescent="0.25">
      <c r="R9308"/>
      <c r="S9308"/>
    </row>
    <row r="9309" spans="18:19" x14ac:dyDescent="0.25">
      <c r="R9309"/>
      <c r="S9309"/>
    </row>
    <row r="9310" spans="18:19" x14ac:dyDescent="0.25">
      <c r="R9310"/>
      <c r="S9310"/>
    </row>
    <row r="9311" spans="18:19" x14ac:dyDescent="0.25">
      <c r="R9311"/>
      <c r="S9311"/>
    </row>
    <row r="9312" spans="18:19" x14ac:dyDescent="0.25">
      <c r="R9312"/>
      <c r="S9312"/>
    </row>
    <row r="9313" spans="18:19" x14ac:dyDescent="0.25">
      <c r="R9313"/>
      <c r="S9313"/>
    </row>
    <row r="9314" spans="18:19" x14ac:dyDescent="0.25">
      <c r="R9314"/>
      <c r="S9314"/>
    </row>
    <row r="9315" spans="18:19" x14ac:dyDescent="0.25">
      <c r="R9315"/>
      <c r="S9315"/>
    </row>
    <row r="9316" spans="18:19" x14ac:dyDescent="0.25">
      <c r="R9316"/>
      <c r="S9316"/>
    </row>
    <row r="9317" spans="18:19" x14ac:dyDescent="0.25">
      <c r="R9317"/>
      <c r="S9317"/>
    </row>
    <row r="9318" spans="18:19" x14ac:dyDescent="0.25">
      <c r="R9318"/>
      <c r="S9318"/>
    </row>
    <row r="9319" spans="18:19" x14ac:dyDescent="0.25">
      <c r="R9319"/>
      <c r="S9319"/>
    </row>
    <row r="9320" spans="18:19" x14ac:dyDescent="0.25">
      <c r="R9320"/>
      <c r="S9320"/>
    </row>
    <row r="9321" spans="18:19" x14ac:dyDescent="0.25">
      <c r="R9321"/>
      <c r="S9321"/>
    </row>
    <row r="9322" spans="18:19" x14ac:dyDescent="0.25">
      <c r="R9322"/>
      <c r="S9322"/>
    </row>
    <row r="9323" spans="18:19" x14ac:dyDescent="0.25">
      <c r="R9323"/>
      <c r="S9323"/>
    </row>
    <row r="9324" spans="18:19" x14ac:dyDescent="0.25">
      <c r="R9324"/>
      <c r="S9324"/>
    </row>
    <row r="9325" spans="18:19" x14ac:dyDescent="0.25">
      <c r="R9325"/>
      <c r="S9325"/>
    </row>
    <row r="9326" spans="18:19" x14ac:dyDescent="0.25">
      <c r="R9326"/>
      <c r="S9326"/>
    </row>
    <row r="9327" spans="18:19" x14ac:dyDescent="0.25">
      <c r="R9327"/>
      <c r="S9327"/>
    </row>
    <row r="9328" spans="18:19" x14ac:dyDescent="0.25">
      <c r="R9328"/>
      <c r="S9328"/>
    </row>
    <row r="9329" spans="18:19" x14ac:dyDescent="0.25">
      <c r="R9329"/>
      <c r="S9329"/>
    </row>
    <row r="9330" spans="18:19" x14ac:dyDescent="0.25">
      <c r="R9330"/>
      <c r="S9330"/>
    </row>
    <row r="9331" spans="18:19" x14ac:dyDescent="0.25">
      <c r="R9331"/>
      <c r="S9331"/>
    </row>
    <row r="9332" spans="18:19" x14ac:dyDescent="0.25">
      <c r="R9332"/>
      <c r="S9332"/>
    </row>
    <row r="9333" spans="18:19" x14ac:dyDescent="0.25">
      <c r="R9333"/>
      <c r="S9333"/>
    </row>
    <row r="9334" spans="18:19" x14ac:dyDescent="0.25">
      <c r="R9334"/>
      <c r="S9334"/>
    </row>
    <row r="9335" spans="18:19" x14ac:dyDescent="0.25">
      <c r="R9335"/>
      <c r="S9335"/>
    </row>
    <row r="9336" spans="18:19" x14ac:dyDescent="0.25">
      <c r="R9336"/>
      <c r="S9336"/>
    </row>
    <row r="9337" spans="18:19" x14ac:dyDescent="0.25">
      <c r="R9337"/>
      <c r="S9337"/>
    </row>
    <row r="9338" spans="18:19" x14ac:dyDescent="0.25">
      <c r="R9338"/>
      <c r="S9338"/>
    </row>
    <row r="9339" spans="18:19" x14ac:dyDescent="0.25">
      <c r="R9339"/>
      <c r="S9339"/>
    </row>
    <row r="9340" spans="18:19" x14ac:dyDescent="0.25">
      <c r="R9340"/>
      <c r="S9340"/>
    </row>
    <row r="9341" spans="18:19" x14ac:dyDescent="0.25">
      <c r="R9341"/>
      <c r="S9341"/>
    </row>
    <row r="9342" spans="18:19" x14ac:dyDescent="0.25">
      <c r="R9342"/>
      <c r="S9342"/>
    </row>
    <row r="9343" spans="18:19" x14ac:dyDescent="0.25">
      <c r="R9343"/>
      <c r="S9343"/>
    </row>
    <row r="9344" spans="18:19" x14ac:dyDescent="0.25">
      <c r="R9344"/>
      <c r="S9344"/>
    </row>
    <row r="9345" spans="18:19" x14ac:dyDescent="0.25">
      <c r="R9345"/>
      <c r="S9345"/>
    </row>
    <row r="9346" spans="18:19" x14ac:dyDescent="0.25">
      <c r="R9346"/>
      <c r="S9346"/>
    </row>
    <row r="9347" spans="18:19" x14ac:dyDescent="0.25">
      <c r="R9347"/>
      <c r="S9347"/>
    </row>
    <row r="9348" spans="18:19" x14ac:dyDescent="0.25">
      <c r="R9348"/>
      <c r="S9348"/>
    </row>
    <row r="9349" spans="18:19" x14ac:dyDescent="0.25">
      <c r="R9349"/>
      <c r="S9349"/>
    </row>
    <row r="9350" spans="18:19" x14ac:dyDescent="0.25">
      <c r="R9350"/>
      <c r="S9350"/>
    </row>
    <row r="9351" spans="18:19" x14ac:dyDescent="0.25">
      <c r="R9351"/>
      <c r="S9351"/>
    </row>
    <row r="9352" spans="18:19" x14ac:dyDescent="0.25">
      <c r="R9352"/>
      <c r="S9352"/>
    </row>
    <row r="9353" spans="18:19" x14ac:dyDescent="0.25">
      <c r="R9353"/>
      <c r="S9353"/>
    </row>
    <row r="9354" spans="18:19" x14ac:dyDescent="0.25">
      <c r="R9354"/>
      <c r="S9354"/>
    </row>
    <row r="9355" spans="18:19" x14ac:dyDescent="0.25">
      <c r="R9355"/>
      <c r="S9355"/>
    </row>
    <row r="9356" spans="18:19" x14ac:dyDescent="0.25">
      <c r="R9356"/>
      <c r="S9356"/>
    </row>
    <row r="9357" spans="18:19" x14ac:dyDescent="0.25">
      <c r="R9357"/>
      <c r="S9357"/>
    </row>
    <row r="9358" spans="18:19" x14ac:dyDescent="0.25">
      <c r="R9358"/>
      <c r="S9358"/>
    </row>
    <row r="9359" spans="18:19" x14ac:dyDescent="0.25">
      <c r="R9359"/>
      <c r="S9359"/>
    </row>
    <row r="9360" spans="18:19" x14ac:dyDescent="0.25">
      <c r="R9360"/>
      <c r="S9360"/>
    </row>
    <row r="9361" spans="18:19" x14ac:dyDescent="0.25">
      <c r="R9361"/>
      <c r="S9361"/>
    </row>
    <row r="9362" spans="18:19" x14ac:dyDescent="0.25">
      <c r="R9362"/>
      <c r="S9362"/>
    </row>
    <row r="9363" spans="18:19" x14ac:dyDescent="0.25">
      <c r="R9363"/>
      <c r="S9363"/>
    </row>
    <row r="9364" spans="18:19" x14ac:dyDescent="0.25">
      <c r="R9364"/>
      <c r="S9364"/>
    </row>
    <row r="9365" spans="18:19" x14ac:dyDescent="0.25">
      <c r="R9365"/>
      <c r="S9365"/>
    </row>
    <row r="9366" spans="18:19" x14ac:dyDescent="0.25">
      <c r="R9366"/>
      <c r="S9366"/>
    </row>
    <row r="9367" spans="18:19" x14ac:dyDescent="0.25">
      <c r="R9367"/>
      <c r="S9367"/>
    </row>
    <row r="9368" spans="18:19" x14ac:dyDescent="0.25">
      <c r="R9368"/>
      <c r="S9368"/>
    </row>
    <row r="9369" spans="18:19" x14ac:dyDescent="0.25">
      <c r="R9369"/>
      <c r="S9369"/>
    </row>
    <row r="9370" spans="18:19" x14ac:dyDescent="0.25">
      <c r="R9370"/>
      <c r="S9370"/>
    </row>
    <row r="9371" spans="18:19" x14ac:dyDescent="0.25">
      <c r="R9371"/>
      <c r="S9371"/>
    </row>
    <row r="9372" spans="18:19" x14ac:dyDescent="0.25">
      <c r="R9372"/>
      <c r="S9372"/>
    </row>
    <row r="9373" spans="18:19" x14ac:dyDescent="0.25">
      <c r="R9373"/>
      <c r="S9373"/>
    </row>
    <row r="9374" spans="18:19" x14ac:dyDescent="0.25">
      <c r="R9374"/>
      <c r="S9374"/>
    </row>
    <row r="9375" spans="18:19" x14ac:dyDescent="0.25">
      <c r="R9375"/>
      <c r="S9375"/>
    </row>
    <row r="9376" spans="18:19" x14ac:dyDescent="0.25">
      <c r="R9376"/>
      <c r="S9376"/>
    </row>
    <row r="9377" spans="18:19" x14ac:dyDescent="0.25">
      <c r="R9377"/>
      <c r="S9377"/>
    </row>
    <row r="9378" spans="18:19" x14ac:dyDescent="0.25">
      <c r="R9378"/>
      <c r="S9378"/>
    </row>
    <row r="9379" spans="18:19" x14ac:dyDescent="0.25">
      <c r="R9379"/>
      <c r="S9379"/>
    </row>
    <row r="9380" spans="18:19" x14ac:dyDescent="0.25">
      <c r="R9380"/>
      <c r="S9380"/>
    </row>
    <row r="9381" spans="18:19" x14ac:dyDescent="0.25">
      <c r="R9381"/>
      <c r="S9381"/>
    </row>
    <row r="9382" spans="18:19" x14ac:dyDescent="0.25">
      <c r="R9382"/>
      <c r="S9382"/>
    </row>
    <row r="9383" spans="18:19" x14ac:dyDescent="0.25">
      <c r="R9383"/>
      <c r="S9383"/>
    </row>
    <row r="9384" spans="18:19" x14ac:dyDescent="0.25">
      <c r="R9384"/>
      <c r="S9384"/>
    </row>
    <row r="9385" spans="18:19" x14ac:dyDescent="0.25">
      <c r="R9385"/>
      <c r="S9385"/>
    </row>
    <row r="9386" spans="18:19" x14ac:dyDescent="0.25">
      <c r="R9386"/>
      <c r="S9386"/>
    </row>
    <row r="9387" spans="18:19" x14ac:dyDescent="0.25">
      <c r="R9387"/>
      <c r="S9387"/>
    </row>
    <row r="9388" spans="18:19" x14ac:dyDescent="0.25">
      <c r="R9388"/>
      <c r="S9388"/>
    </row>
    <row r="9389" spans="18:19" x14ac:dyDescent="0.25">
      <c r="R9389"/>
      <c r="S9389"/>
    </row>
    <row r="9390" spans="18:19" x14ac:dyDescent="0.25">
      <c r="R9390"/>
      <c r="S9390"/>
    </row>
    <row r="9391" spans="18:19" x14ac:dyDescent="0.25">
      <c r="R9391"/>
      <c r="S9391"/>
    </row>
    <row r="9392" spans="18:19" x14ac:dyDescent="0.25">
      <c r="R9392"/>
      <c r="S9392"/>
    </row>
    <row r="9393" spans="18:19" x14ac:dyDescent="0.25">
      <c r="R9393"/>
      <c r="S9393"/>
    </row>
    <row r="9394" spans="18:19" x14ac:dyDescent="0.25">
      <c r="R9394"/>
      <c r="S9394"/>
    </row>
    <row r="9395" spans="18:19" x14ac:dyDescent="0.25">
      <c r="R9395"/>
      <c r="S9395"/>
    </row>
    <row r="9396" spans="18:19" x14ac:dyDescent="0.25">
      <c r="R9396"/>
      <c r="S9396"/>
    </row>
    <row r="9397" spans="18:19" x14ac:dyDescent="0.25">
      <c r="R9397"/>
      <c r="S9397"/>
    </row>
    <row r="9398" spans="18:19" x14ac:dyDescent="0.25">
      <c r="R9398"/>
      <c r="S9398"/>
    </row>
    <row r="9399" spans="18:19" x14ac:dyDescent="0.25">
      <c r="R9399"/>
      <c r="S9399"/>
    </row>
    <row r="9400" spans="18:19" x14ac:dyDescent="0.25">
      <c r="R9400"/>
      <c r="S9400"/>
    </row>
    <row r="9401" spans="18:19" x14ac:dyDescent="0.25">
      <c r="R9401"/>
      <c r="S9401"/>
    </row>
    <row r="9402" spans="18:19" x14ac:dyDescent="0.25">
      <c r="R9402"/>
      <c r="S9402"/>
    </row>
    <row r="9403" spans="18:19" x14ac:dyDescent="0.25">
      <c r="R9403"/>
      <c r="S9403"/>
    </row>
    <row r="9404" spans="18:19" x14ac:dyDescent="0.25">
      <c r="R9404"/>
      <c r="S9404"/>
    </row>
    <row r="9405" spans="18:19" x14ac:dyDescent="0.25">
      <c r="R9405"/>
      <c r="S9405"/>
    </row>
    <row r="9406" spans="18:19" x14ac:dyDescent="0.25">
      <c r="R9406"/>
      <c r="S9406"/>
    </row>
    <row r="9407" spans="18:19" x14ac:dyDescent="0.25">
      <c r="R9407"/>
      <c r="S9407"/>
    </row>
    <row r="9408" spans="18:19" x14ac:dyDescent="0.25">
      <c r="R9408"/>
      <c r="S9408"/>
    </row>
    <row r="9409" spans="18:19" x14ac:dyDescent="0.25">
      <c r="R9409"/>
      <c r="S9409"/>
    </row>
    <row r="9410" spans="18:19" x14ac:dyDescent="0.25">
      <c r="R9410"/>
      <c r="S9410"/>
    </row>
    <row r="9411" spans="18:19" x14ac:dyDescent="0.25">
      <c r="R9411"/>
      <c r="S9411"/>
    </row>
    <row r="9412" spans="18:19" x14ac:dyDescent="0.25">
      <c r="R9412"/>
      <c r="S9412"/>
    </row>
    <row r="9413" spans="18:19" x14ac:dyDescent="0.25">
      <c r="R9413"/>
      <c r="S9413"/>
    </row>
    <row r="9414" spans="18:19" x14ac:dyDescent="0.25">
      <c r="R9414"/>
      <c r="S9414"/>
    </row>
    <row r="9415" spans="18:19" x14ac:dyDescent="0.25">
      <c r="R9415"/>
      <c r="S9415"/>
    </row>
    <row r="9416" spans="18:19" x14ac:dyDescent="0.25">
      <c r="R9416"/>
      <c r="S9416"/>
    </row>
    <row r="9417" spans="18:19" x14ac:dyDescent="0.25">
      <c r="R9417"/>
      <c r="S9417"/>
    </row>
    <row r="9418" spans="18:19" x14ac:dyDescent="0.25">
      <c r="R9418"/>
      <c r="S9418"/>
    </row>
    <row r="9419" spans="18:19" x14ac:dyDescent="0.25">
      <c r="R9419"/>
      <c r="S9419"/>
    </row>
    <row r="9420" spans="18:19" x14ac:dyDescent="0.25">
      <c r="R9420"/>
      <c r="S9420"/>
    </row>
    <row r="9421" spans="18:19" x14ac:dyDescent="0.25">
      <c r="R9421"/>
      <c r="S9421"/>
    </row>
    <row r="9422" spans="18:19" x14ac:dyDescent="0.25">
      <c r="R9422"/>
      <c r="S9422"/>
    </row>
    <row r="9423" spans="18:19" x14ac:dyDescent="0.25">
      <c r="R9423"/>
      <c r="S9423"/>
    </row>
    <row r="9424" spans="18:19" x14ac:dyDescent="0.25">
      <c r="R9424"/>
      <c r="S9424"/>
    </row>
    <row r="9425" spans="18:19" x14ac:dyDescent="0.25">
      <c r="R9425"/>
      <c r="S9425"/>
    </row>
    <row r="9426" spans="18:19" x14ac:dyDescent="0.25">
      <c r="R9426"/>
      <c r="S9426"/>
    </row>
    <row r="9427" spans="18:19" x14ac:dyDescent="0.25">
      <c r="R9427"/>
      <c r="S9427"/>
    </row>
    <row r="9428" spans="18:19" x14ac:dyDescent="0.25">
      <c r="R9428"/>
      <c r="S9428"/>
    </row>
    <row r="9429" spans="18:19" x14ac:dyDescent="0.25">
      <c r="R9429"/>
      <c r="S9429"/>
    </row>
    <row r="9430" spans="18:19" x14ac:dyDescent="0.25">
      <c r="R9430"/>
      <c r="S9430"/>
    </row>
    <row r="9431" spans="18:19" x14ac:dyDescent="0.25">
      <c r="R9431"/>
      <c r="S9431"/>
    </row>
    <row r="9432" spans="18:19" x14ac:dyDescent="0.25">
      <c r="R9432"/>
      <c r="S9432"/>
    </row>
    <row r="9433" spans="18:19" x14ac:dyDescent="0.25">
      <c r="R9433"/>
      <c r="S9433"/>
    </row>
    <row r="9434" spans="18:19" x14ac:dyDescent="0.25">
      <c r="R9434"/>
      <c r="S9434"/>
    </row>
    <row r="9435" spans="18:19" x14ac:dyDescent="0.25">
      <c r="R9435"/>
      <c r="S9435"/>
    </row>
    <row r="9436" spans="18:19" x14ac:dyDescent="0.25">
      <c r="R9436"/>
      <c r="S9436"/>
    </row>
    <row r="9437" spans="18:19" x14ac:dyDescent="0.25">
      <c r="R9437"/>
      <c r="S9437"/>
    </row>
    <row r="9438" spans="18:19" x14ac:dyDescent="0.25">
      <c r="R9438"/>
      <c r="S9438"/>
    </row>
    <row r="9439" spans="18:19" x14ac:dyDescent="0.25">
      <c r="R9439"/>
      <c r="S9439"/>
    </row>
    <row r="9440" spans="18:19" x14ac:dyDescent="0.25">
      <c r="R9440"/>
      <c r="S9440"/>
    </row>
    <row r="9441" spans="18:19" x14ac:dyDescent="0.25">
      <c r="R9441"/>
      <c r="S9441"/>
    </row>
    <row r="9442" spans="18:19" x14ac:dyDescent="0.25">
      <c r="R9442"/>
      <c r="S9442"/>
    </row>
    <row r="9443" spans="18:19" x14ac:dyDescent="0.25">
      <c r="R9443"/>
      <c r="S9443"/>
    </row>
    <row r="9444" spans="18:19" x14ac:dyDescent="0.25">
      <c r="R9444"/>
      <c r="S9444"/>
    </row>
    <row r="9445" spans="18:19" x14ac:dyDescent="0.25">
      <c r="R9445"/>
      <c r="S9445"/>
    </row>
    <row r="9446" spans="18:19" x14ac:dyDescent="0.25">
      <c r="R9446"/>
      <c r="S9446"/>
    </row>
    <row r="9447" spans="18:19" x14ac:dyDescent="0.25">
      <c r="R9447"/>
      <c r="S9447"/>
    </row>
    <row r="9448" spans="18:19" x14ac:dyDescent="0.25">
      <c r="R9448"/>
      <c r="S9448"/>
    </row>
    <row r="9449" spans="18:19" x14ac:dyDescent="0.25">
      <c r="R9449"/>
      <c r="S9449"/>
    </row>
    <row r="9450" spans="18:19" x14ac:dyDescent="0.25">
      <c r="R9450"/>
      <c r="S9450"/>
    </row>
    <row r="9451" spans="18:19" x14ac:dyDescent="0.25">
      <c r="R9451"/>
      <c r="S9451"/>
    </row>
    <row r="9452" spans="18:19" x14ac:dyDescent="0.25">
      <c r="R9452"/>
      <c r="S9452"/>
    </row>
    <row r="9453" spans="18:19" x14ac:dyDescent="0.25">
      <c r="R9453"/>
      <c r="S9453"/>
    </row>
    <row r="9454" spans="18:19" x14ac:dyDescent="0.25">
      <c r="R9454"/>
      <c r="S9454"/>
    </row>
    <row r="9455" spans="18:19" x14ac:dyDescent="0.25">
      <c r="R9455"/>
      <c r="S9455"/>
    </row>
    <row r="9456" spans="18:19" x14ac:dyDescent="0.25">
      <c r="R9456"/>
      <c r="S9456"/>
    </row>
    <row r="9457" spans="18:19" x14ac:dyDescent="0.25">
      <c r="R9457"/>
      <c r="S9457"/>
    </row>
    <row r="9458" spans="18:19" x14ac:dyDescent="0.25">
      <c r="R9458"/>
      <c r="S9458"/>
    </row>
    <row r="9459" spans="18:19" x14ac:dyDescent="0.25">
      <c r="R9459"/>
      <c r="S9459"/>
    </row>
    <row r="9460" spans="18:19" x14ac:dyDescent="0.25">
      <c r="R9460"/>
      <c r="S9460"/>
    </row>
    <row r="9461" spans="18:19" x14ac:dyDescent="0.25">
      <c r="R9461"/>
      <c r="S9461"/>
    </row>
    <row r="9462" spans="18:19" x14ac:dyDescent="0.25">
      <c r="R9462"/>
      <c r="S9462"/>
    </row>
    <row r="9463" spans="18:19" x14ac:dyDescent="0.25">
      <c r="R9463"/>
      <c r="S9463"/>
    </row>
    <row r="9464" spans="18:19" x14ac:dyDescent="0.25">
      <c r="R9464"/>
      <c r="S9464"/>
    </row>
    <row r="9465" spans="18:19" x14ac:dyDescent="0.25">
      <c r="R9465"/>
      <c r="S9465"/>
    </row>
    <row r="9466" spans="18:19" x14ac:dyDescent="0.25">
      <c r="R9466"/>
      <c r="S9466"/>
    </row>
    <row r="9467" spans="18:19" x14ac:dyDescent="0.25">
      <c r="R9467"/>
      <c r="S9467"/>
    </row>
    <row r="9468" spans="18:19" x14ac:dyDescent="0.25">
      <c r="R9468"/>
      <c r="S9468"/>
    </row>
    <row r="9469" spans="18:19" x14ac:dyDescent="0.25">
      <c r="R9469"/>
      <c r="S9469"/>
    </row>
    <row r="9470" spans="18:19" x14ac:dyDescent="0.25">
      <c r="R9470"/>
      <c r="S9470"/>
    </row>
    <row r="9471" spans="18:19" x14ac:dyDescent="0.25">
      <c r="R9471"/>
      <c r="S9471"/>
    </row>
    <row r="9472" spans="18:19" x14ac:dyDescent="0.25">
      <c r="R9472"/>
      <c r="S9472"/>
    </row>
    <row r="9473" spans="18:19" x14ac:dyDescent="0.25">
      <c r="R9473"/>
      <c r="S9473"/>
    </row>
    <row r="9474" spans="18:19" x14ac:dyDescent="0.25">
      <c r="R9474"/>
      <c r="S9474"/>
    </row>
    <row r="9475" spans="18:19" x14ac:dyDescent="0.25">
      <c r="R9475"/>
      <c r="S9475"/>
    </row>
    <row r="9476" spans="18:19" x14ac:dyDescent="0.25">
      <c r="R9476"/>
      <c r="S9476"/>
    </row>
    <row r="9477" spans="18:19" x14ac:dyDescent="0.25">
      <c r="R9477"/>
      <c r="S9477"/>
    </row>
    <row r="9478" spans="18:19" x14ac:dyDescent="0.25">
      <c r="R9478"/>
      <c r="S9478"/>
    </row>
    <row r="9479" spans="18:19" x14ac:dyDescent="0.25">
      <c r="R9479"/>
      <c r="S9479"/>
    </row>
    <row r="9480" spans="18:19" x14ac:dyDescent="0.25">
      <c r="R9480"/>
      <c r="S9480"/>
    </row>
    <row r="9481" spans="18:19" x14ac:dyDescent="0.25">
      <c r="R9481"/>
      <c r="S9481"/>
    </row>
    <row r="9482" spans="18:19" x14ac:dyDescent="0.25">
      <c r="R9482"/>
      <c r="S9482"/>
    </row>
    <row r="9483" spans="18:19" x14ac:dyDescent="0.25">
      <c r="R9483"/>
      <c r="S9483"/>
    </row>
    <row r="9484" spans="18:19" x14ac:dyDescent="0.25">
      <c r="R9484"/>
      <c r="S9484"/>
    </row>
    <row r="9485" spans="18:19" x14ac:dyDescent="0.25">
      <c r="R9485"/>
      <c r="S9485"/>
    </row>
    <row r="9486" spans="18:19" x14ac:dyDescent="0.25">
      <c r="R9486"/>
      <c r="S9486"/>
    </row>
    <row r="9487" spans="18:19" x14ac:dyDescent="0.25">
      <c r="R9487"/>
      <c r="S9487"/>
    </row>
    <row r="9488" spans="18:19" x14ac:dyDescent="0.25">
      <c r="R9488"/>
      <c r="S9488"/>
    </row>
    <row r="9489" spans="18:19" x14ac:dyDescent="0.25">
      <c r="R9489"/>
      <c r="S9489"/>
    </row>
    <row r="9490" spans="18:19" x14ac:dyDescent="0.25">
      <c r="R9490"/>
      <c r="S9490"/>
    </row>
    <row r="9491" spans="18:19" x14ac:dyDescent="0.25">
      <c r="R9491"/>
      <c r="S9491"/>
    </row>
    <row r="9492" spans="18:19" x14ac:dyDescent="0.25">
      <c r="R9492"/>
      <c r="S9492"/>
    </row>
    <row r="9493" spans="18:19" x14ac:dyDescent="0.25">
      <c r="R9493"/>
      <c r="S9493"/>
    </row>
    <row r="9494" spans="18:19" x14ac:dyDescent="0.25">
      <c r="R9494"/>
      <c r="S9494"/>
    </row>
    <row r="9495" spans="18:19" x14ac:dyDescent="0.25">
      <c r="R9495"/>
      <c r="S9495"/>
    </row>
    <row r="9496" spans="18:19" x14ac:dyDescent="0.25">
      <c r="R9496"/>
      <c r="S9496"/>
    </row>
    <row r="9497" spans="18:19" x14ac:dyDescent="0.25">
      <c r="R9497"/>
      <c r="S9497"/>
    </row>
    <row r="9498" spans="18:19" x14ac:dyDescent="0.25">
      <c r="R9498"/>
      <c r="S9498"/>
    </row>
    <row r="9499" spans="18:19" x14ac:dyDescent="0.25">
      <c r="R9499"/>
      <c r="S9499"/>
    </row>
    <row r="9500" spans="18:19" x14ac:dyDescent="0.25">
      <c r="R9500"/>
      <c r="S9500"/>
    </row>
    <row r="9501" spans="18:19" x14ac:dyDescent="0.25">
      <c r="R9501"/>
      <c r="S9501"/>
    </row>
    <row r="9502" spans="18:19" x14ac:dyDescent="0.25">
      <c r="R9502"/>
      <c r="S9502"/>
    </row>
    <row r="9503" spans="18:19" x14ac:dyDescent="0.25">
      <c r="R9503"/>
      <c r="S9503"/>
    </row>
    <row r="9504" spans="18:19" x14ac:dyDescent="0.25">
      <c r="R9504"/>
      <c r="S9504"/>
    </row>
    <row r="9505" spans="18:19" x14ac:dyDescent="0.25">
      <c r="R9505"/>
      <c r="S9505"/>
    </row>
    <row r="9506" spans="18:19" x14ac:dyDescent="0.25">
      <c r="R9506"/>
      <c r="S9506"/>
    </row>
    <row r="9507" spans="18:19" x14ac:dyDescent="0.25">
      <c r="R9507"/>
      <c r="S9507"/>
    </row>
    <row r="9508" spans="18:19" x14ac:dyDescent="0.25">
      <c r="R9508"/>
      <c r="S9508"/>
    </row>
    <row r="9509" spans="18:19" x14ac:dyDescent="0.25">
      <c r="R9509"/>
      <c r="S9509"/>
    </row>
    <row r="9510" spans="18:19" x14ac:dyDescent="0.25">
      <c r="R9510"/>
      <c r="S9510"/>
    </row>
    <row r="9511" spans="18:19" x14ac:dyDescent="0.25">
      <c r="R9511"/>
      <c r="S9511"/>
    </row>
    <row r="9512" spans="18:19" x14ac:dyDescent="0.25">
      <c r="R9512"/>
      <c r="S9512"/>
    </row>
    <row r="9513" spans="18:19" x14ac:dyDescent="0.25">
      <c r="R9513"/>
      <c r="S9513"/>
    </row>
    <row r="9514" spans="18:19" x14ac:dyDescent="0.25">
      <c r="R9514"/>
      <c r="S9514"/>
    </row>
    <row r="9515" spans="18:19" x14ac:dyDescent="0.25">
      <c r="R9515"/>
      <c r="S9515"/>
    </row>
    <row r="9516" spans="18:19" x14ac:dyDescent="0.25">
      <c r="R9516"/>
      <c r="S9516"/>
    </row>
    <row r="9517" spans="18:19" x14ac:dyDescent="0.25">
      <c r="R9517"/>
      <c r="S9517"/>
    </row>
    <row r="9518" spans="18:19" x14ac:dyDescent="0.25">
      <c r="R9518"/>
      <c r="S9518"/>
    </row>
    <row r="9519" spans="18:19" x14ac:dyDescent="0.25">
      <c r="R9519"/>
      <c r="S9519"/>
    </row>
    <row r="9520" spans="18:19" x14ac:dyDescent="0.25">
      <c r="R9520"/>
      <c r="S9520"/>
    </row>
    <row r="9521" spans="18:19" x14ac:dyDescent="0.25">
      <c r="R9521"/>
      <c r="S9521"/>
    </row>
    <row r="9522" spans="18:19" x14ac:dyDescent="0.25">
      <c r="R9522"/>
      <c r="S9522"/>
    </row>
    <row r="9523" spans="18:19" x14ac:dyDescent="0.25">
      <c r="R9523"/>
      <c r="S9523"/>
    </row>
    <row r="9524" spans="18:19" x14ac:dyDescent="0.25">
      <c r="R9524"/>
      <c r="S9524"/>
    </row>
    <row r="9525" spans="18:19" x14ac:dyDescent="0.25">
      <c r="R9525"/>
      <c r="S9525"/>
    </row>
    <row r="9526" spans="18:19" x14ac:dyDescent="0.25">
      <c r="R9526"/>
      <c r="S9526"/>
    </row>
    <row r="9527" spans="18:19" x14ac:dyDescent="0.25">
      <c r="R9527"/>
      <c r="S9527"/>
    </row>
    <row r="9528" spans="18:19" x14ac:dyDescent="0.25">
      <c r="R9528"/>
      <c r="S9528"/>
    </row>
    <row r="9529" spans="18:19" x14ac:dyDescent="0.25">
      <c r="R9529"/>
      <c r="S9529"/>
    </row>
    <row r="9530" spans="18:19" x14ac:dyDescent="0.25">
      <c r="R9530"/>
      <c r="S9530"/>
    </row>
    <row r="9531" spans="18:19" x14ac:dyDescent="0.25">
      <c r="R9531"/>
      <c r="S9531"/>
    </row>
    <row r="9532" spans="18:19" x14ac:dyDescent="0.25">
      <c r="R9532"/>
      <c r="S9532"/>
    </row>
    <row r="9533" spans="18:19" x14ac:dyDescent="0.25">
      <c r="R9533"/>
      <c r="S9533"/>
    </row>
    <row r="9534" spans="18:19" x14ac:dyDescent="0.25">
      <c r="R9534"/>
      <c r="S9534"/>
    </row>
    <row r="9535" spans="18:19" x14ac:dyDescent="0.25">
      <c r="R9535"/>
      <c r="S9535"/>
    </row>
    <row r="9536" spans="18:19" x14ac:dyDescent="0.25">
      <c r="R9536"/>
      <c r="S9536"/>
    </row>
    <row r="9537" spans="18:19" x14ac:dyDescent="0.25">
      <c r="R9537"/>
      <c r="S9537"/>
    </row>
    <row r="9538" spans="18:19" x14ac:dyDescent="0.25">
      <c r="R9538"/>
      <c r="S9538"/>
    </row>
    <row r="9539" spans="18:19" x14ac:dyDescent="0.25">
      <c r="R9539"/>
      <c r="S9539"/>
    </row>
    <row r="9540" spans="18:19" x14ac:dyDescent="0.25">
      <c r="R9540"/>
      <c r="S9540"/>
    </row>
    <row r="9541" spans="18:19" x14ac:dyDescent="0.25">
      <c r="R9541"/>
      <c r="S9541"/>
    </row>
    <row r="9542" spans="18:19" x14ac:dyDescent="0.25">
      <c r="R9542"/>
      <c r="S9542"/>
    </row>
    <row r="9543" spans="18:19" x14ac:dyDescent="0.25">
      <c r="R9543"/>
      <c r="S9543"/>
    </row>
    <row r="9544" spans="18:19" x14ac:dyDescent="0.25">
      <c r="R9544"/>
      <c r="S9544"/>
    </row>
    <row r="9545" spans="18:19" x14ac:dyDescent="0.25">
      <c r="R9545"/>
      <c r="S9545"/>
    </row>
    <row r="9546" spans="18:19" x14ac:dyDescent="0.25">
      <c r="R9546"/>
      <c r="S9546"/>
    </row>
    <row r="9547" spans="18:19" x14ac:dyDescent="0.25">
      <c r="R9547"/>
      <c r="S9547"/>
    </row>
    <row r="9548" spans="18:19" x14ac:dyDescent="0.25">
      <c r="R9548"/>
      <c r="S9548"/>
    </row>
    <row r="9549" spans="18:19" x14ac:dyDescent="0.25">
      <c r="R9549"/>
      <c r="S9549"/>
    </row>
    <row r="9550" spans="18:19" x14ac:dyDescent="0.25">
      <c r="R9550"/>
      <c r="S9550"/>
    </row>
    <row r="9551" spans="18:19" x14ac:dyDescent="0.25">
      <c r="R9551"/>
      <c r="S9551"/>
    </row>
    <row r="9552" spans="18:19" x14ac:dyDescent="0.25">
      <c r="R9552"/>
      <c r="S9552"/>
    </row>
    <row r="9553" spans="18:19" x14ac:dyDescent="0.25">
      <c r="R9553"/>
      <c r="S9553"/>
    </row>
    <row r="9554" spans="18:19" x14ac:dyDescent="0.25">
      <c r="R9554"/>
      <c r="S9554"/>
    </row>
    <row r="9555" spans="18:19" x14ac:dyDescent="0.25">
      <c r="R9555"/>
      <c r="S9555"/>
    </row>
    <row r="9556" spans="18:19" x14ac:dyDescent="0.25">
      <c r="R9556"/>
      <c r="S9556"/>
    </row>
    <row r="9557" spans="18:19" x14ac:dyDescent="0.25">
      <c r="R9557"/>
      <c r="S9557"/>
    </row>
    <row r="9558" spans="18:19" x14ac:dyDescent="0.25">
      <c r="R9558"/>
      <c r="S9558"/>
    </row>
    <row r="9559" spans="18:19" x14ac:dyDescent="0.25">
      <c r="R9559"/>
      <c r="S9559"/>
    </row>
    <row r="9560" spans="18:19" x14ac:dyDescent="0.25">
      <c r="R9560"/>
      <c r="S9560"/>
    </row>
    <row r="9561" spans="18:19" x14ac:dyDescent="0.25">
      <c r="R9561"/>
      <c r="S9561"/>
    </row>
    <row r="9562" spans="18:19" x14ac:dyDescent="0.25">
      <c r="R9562"/>
      <c r="S9562"/>
    </row>
    <row r="9563" spans="18:19" x14ac:dyDescent="0.25">
      <c r="R9563"/>
      <c r="S9563"/>
    </row>
    <row r="9564" spans="18:19" x14ac:dyDescent="0.25">
      <c r="R9564"/>
      <c r="S9564"/>
    </row>
    <row r="9565" spans="18:19" x14ac:dyDescent="0.25">
      <c r="R9565"/>
      <c r="S9565"/>
    </row>
    <row r="9566" spans="18:19" x14ac:dyDescent="0.25">
      <c r="R9566"/>
      <c r="S9566"/>
    </row>
    <row r="9567" spans="18:19" x14ac:dyDescent="0.25">
      <c r="R9567"/>
      <c r="S9567"/>
    </row>
    <row r="9568" spans="18:19" x14ac:dyDescent="0.25">
      <c r="R9568"/>
      <c r="S9568"/>
    </row>
    <row r="9569" spans="18:19" x14ac:dyDescent="0.25">
      <c r="R9569"/>
      <c r="S9569"/>
    </row>
    <row r="9570" spans="18:19" x14ac:dyDescent="0.25">
      <c r="R9570"/>
      <c r="S9570"/>
    </row>
    <row r="9571" spans="18:19" x14ac:dyDescent="0.25">
      <c r="R9571"/>
      <c r="S9571"/>
    </row>
    <row r="9572" spans="18:19" x14ac:dyDescent="0.25">
      <c r="R9572"/>
      <c r="S9572"/>
    </row>
    <row r="9573" spans="18:19" x14ac:dyDescent="0.25">
      <c r="R9573"/>
      <c r="S9573"/>
    </row>
    <row r="9574" spans="18:19" x14ac:dyDescent="0.25">
      <c r="R9574"/>
      <c r="S9574"/>
    </row>
    <row r="9575" spans="18:19" x14ac:dyDescent="0.25">
      <c r="R9575"/>
      <c r="S9575"/>
    </row>
    <row r="9576" spans="18:19" x14ac:dyDescent="0.25">
      <c r="R9576"/>
      <c r="S9576"/>
    </row>
    <row r="9577" spans="18:19" x14ac:dyDescent="0.25">
      <c r="R9577"/>
      <c r="S9577"/>
    </row>
    <row r="9578" spans="18:19" x14ac:dyDescent="0.25">
      <c r="R9578"/>
      <c r="S9578"/>
    </row>
    <row r="9579" spans="18:19" x14ac:dyDescent="0.25">
      <c r="R9579"/>
      <c r="S9579"/>
    </row>
    <row r="9580" spans="18:19" x14ac:dyDescent="0.25">
      <c r="R9580"/>
      <c r="S9580"/>
    </row>
    <row r="9581" spans="18:19" x14ac:dyDescent="0.25">
      <c r="R9581"/>
      <c r="S9581"/>
    </row>
    <row r="9582" spans="18:19" x14ac:dyDescent="0.25">
      <c r="R9582"/>
      <c r="S9582"/>
    </row>
    <row r="9583" spans="18:19" x14ac:dyDescent="0.25">
      <c r="R9583"/>
      <c r="S9583"/>
    </row>
    <row r="9584" spans="18:19" x14ac:dyDescent="0.25">
      <c r="R9584"/>
      <c r="S9584"/>
    </row>
    <row r="9585" spans="18:19" x14ac:dyDescent="0.25">
      <c r="R9585"/>
      <c r="S9585"/>
    </row>
    <row r="9586" spans="18:19" x14ac:dyDescent="0.25">
      <c r="R9586"/>
      <c r="S9586"/>
    </row>
    <row r="9587" spans="18:19" x14ac:dyDescent="0.25">
      <c r="R9587"/>
      <c r="S9587"/>
    </row>
    <row r="9588" spans="18:19" x14ac:dyDescent="0.25">
      <c r="R9588"/>
      <c r="S9588"/>
    </row>
    <row r="9589" spans="18:19" x14ac:dyDescent="0.25">
      <c r="R9589"/>
      <c r="S9589"/>
    </row>
    <row r="9590" spans="18:19" x14ac:dyDescent="0.25">
      <c r="R9590"/>
      <c r="S9590"/>
    </row>
    <row r="9591" spans="18:19" x14ac:dyDescent="0.25">
      <c r="R9591"/>
      <c r="S9591"/>
    </row>
    <row r="9592" spans="18:19" x14ac:dyDescent="0.25">
      <c r="R9592"/>
      <c r="S9592"/>
    </row>
    <row r="9593" spans="18:19" x14ac:dyDescent="0.25">
      <c r="R9593"/>
      <c r="S9593"/>
    </row>
    <row r="9594" spans="18:19" x14ac:dyDescent="0.25">
      <c r="R9594"/>
      <c r="S9594"/>
    </row>
    <row r="9595" spans="18:19" x14ac:dyDescent="0.25">
      <c r="R9595"/>
      <c r="S9595"/>
    </row>
    <row r="9596" spans="18:19" x14ac:dyDescent="0.25">
      <c r="R9596"/>
      <c r="S9596"/>
    </row>
    <row r="9597" spans="18:19" x14ac:dyDescent="0.25">
      <c r="R9597"/>
      <c r="S9597"/>
    </row>
    <row r="9598" spans="18:19" x14ac:dyDescent="0.25">
      <c r="R9598"/>
      <c r="S9598"/>
    </row>
    <row r="9599" spans="18:19" x14ac:dyDescent="0.25">
      <c r="R9599"/>
      <c r="S9599"/>
    </row>
    <row r="9600" spans="18:19" x14ac:dyDescent="0.25">
      <c r="R9600"/>
      <c r="S9600"/>
    </row>
    <row r="9601" spans="18:19" x14ac:dyDescent="0.25">
      <c r="R9601"/>
      <c r="S9601"/>
    </row>
    <row r="9602" spans="18:19" x14ac:dyDescent="0.25">
      <c r="R9602"/>
      <c r="S9602"/>
    </row>
    <row r="9603" spans="18:19" x14ac:dyDescent="0.25">
      <c r="R9603"/>
      <c r="S9603"/>
    </row>
    <row r="9604" spans="18:19" x14ac:dyDescent="0.25">
      <c r="R9604"/>
      <c r="S9604"/>
    </row>
    <row r="9605" spans="18:19" x14ac:dyDescent="0.25">
      <c r="R9605"/>
      <c r="S9605"/>
    </row>
    <row r="9606" spans="18:19" x14ac:dyDescent="0.25">
      <c r="R9606"/>
      <c r="S9606"/>
    </row>
    <row r="9607" spans="18:19" x14ac:dyDescent="0.25">
      <c r="R9607"/>
      <c r="S9607"/>
    </row>
    <row r="9608" spans="18:19" x14ac:dyDescent="0.25">
      <c r="R9608"/>
      <c r="S9608"/>
    </row>
    <row r="9609" spans="18:19" x14ac:dyDescent="0.25">
      <c r="R9609"/>
      <c r="S9609"/>
    </row>
    <row r="9610" spans="18:19" x14ac:dyDescent="0.25">
      <c r="R9610"/>
      <c r="S9610"/>
    </row>
    <row r="9611" spans="18:19" x14ac:dyDescent="0.25">
      <c r="R9611"/>
      <c r="S9611"/>
    </row>
    <row r="9612" spans="18:19" x14ac:dyDescent="0.25">
      <c r="R9612"/>
      <c r="S9612"/>
    </row>
    <row r="9613" spans="18:19" x14ac:dyDescent="0.25">
      <c r="R9613"/>
      <c r="S9613"/>
    </row>
    <row r="9614" spans="18:19" x14ac:dyDescent="0.25">
      <c r="R9614"/>
      <c r="S9614"/>
    </row>
    <row r="9615" spans="18:19" x14ac:dyDescent="0.25">
      <c r="R9615"/>
      <c r="S9615"/>
    </row>
    <row r="9616" spans="18:19" x14ac:dyDescent="0.25">
      <c r="R9616"/>
      <c r="S9616"/>
    </row>
    <row r="9617" spans="18:19" x14ac:dyDescent="0.25">
      <c r="R9617"/>
      <c r="S9617"/>
    </row>
    <row r="9618" spans="18:19" x14ac:dyDescent="0.25">
      <c r="R9618"/>
      <c r="S9618"/>
    </row>
    <row r="9619" spans="18:19" x14ac:dyDescent="0.25">
      <c r="R9619"/>
      <c r="S9619"/>
    </row>
    <row r="9620" spans="18:19" x14ac:dyDescent="0.25">
      <c r="R9620"/>
      <c r="S9620"/>
    </row>
    <row r="9621" spans="18:19" x14ac:dyDescent="0.25">
      <c r="R9621"/>
      <c r="S9621"/>
    </row>
    <row r="9622" spans="18:19" x14ac:dyDescent="0.25">
      <c r="R9622"/>
      <c r="S9622"/>
    </row>
    <row r="9623" spans="18:19" x14ac:dyDescent="0.25">
      <c r="R9623"/>
      <c r="S9623"/>
    </row>
    <row r="9624" spans="18:19" x14ac:dyDescent="0.25">
      <c r="R9624"/>
      <c r="S9624"/>
    </row>
    <row r="9625" spans="18:19" x14ac:dyDescent="0.25">
      <c r="R9625"/>
      <c r="S9625"/>
    </row>
    <row r="9626" spans="18:19" x14ac:dyDescent="0.25">
      <c r="R9626"/>
      <c r="S9626"/>
    </row>
    <row r="9627" spans="18:19" x14ac:dyDescent="0.25">
      <c r="R9627"/>
      <c r="S9627"/>
    </row>
    <row r="9628" spans="18:19" x14ac:dyDescent="0.25">
      <c r="R9628"/>
      <c r="S9628"/>
    </row>
    <row r="9629" spans="18:19" x14ac:dyDescent="0.25">
      <c r="R9629"/>
      <c r="S9629"/>
    </row>
    <row r="9630" spans="18:19" x14ac:dyDescent="0.25">
      <c r="R9630"/>
      <c r="S9630"/>
    </row>
    <row r="9631" spans="18:19" x14ac:dyDescent="0.25">
      <c r="R9631"/>
      <c r="S9631"/>
    </row>
    <row r="9632" spans="18:19" x14ac:dyDescent="0.25">
      <c r="R9632"/>
      <c r="S9632"/>
    </row>
    <row r="9633" spans="18:19" x14ac:dyDescent="0.25">
      <c r="R9633"/>
      <c r="S9633"/>
    </row>
    <row r="9634" spans="18:19" x14ac:dyDescent="0.25">
      <c r="R9634"/>
      <c r="S9634"/>
    </row>
    <row r="9635" spans="18:19" x14ac:dyDescent="0.25">
      <c r="R9635"/>
      <c r="S9635"/>
    </row>
    <row r="9636" spans="18:19" x14ac:dyDescent="0.25">
      <c r="R9636"/>
      <c r="S9636"/>
    </row>
    <row r="9637" spans="18:19" x14ac:dyDescent="0.25">
      <c r="R9637"/>
      <c r="S9637"/>
    </row>
    <row r="9638" spans="18:19" x14ac:dyDescent="0.25">
      <c r="R9638"/>
      <c r="S9638"/>
    </row>
    <row r="9639" spans="18:19" x14ac:dyDescent="0.25">
      <c r="R9639"/>
      <c r="S9639"/>
    </row>
    <row r="9640" spans="18:19" x14ac:dyDescent="0.25">
      <c r="R9640"/>
      <c r="S9640"/>
    </row>
    <row r="9641" spans="18:19" x14ac:dyDescent="0.25">
      <c r="R9641"/>
      <c r="S9641"/>
    </row>
    <row r="9642" spans="18:19" x14ac:dyDescent="0.25">
      <c r="R9642"/>
      <c r="S9642"/>
    </row>
    <row r="9643" spans="18:19" x14ac:dyDescent="0.25">
      <c r="R9643"/>
      <c r="S9643"/>
    </row>
    <row r="9644" spans="18:19" x14ac:dyDescent="0.25">
      <c r="R9644"/>
      <c r="S9644"/>
    </row>
    <row r="9645" spans="18:19" x14ac:dyDescent="0.25">
      <c r="R9645"/>
      <c r="S9645"/>
    </row>
    <row r="9646" spans="18:19" x14ac:dyDescent="0.25">
      <c r="R9646"/>
      <c r="S9646"/>
    </row>
    <row r="9647" spans="18:19" x14ac:dyDescent="0.25">
      <c r="R9647"/>
      <c r="S9647"/>
    </row>
    <row r="9648" spans="18:19" x14ac:dyDescent="0.25">
      <c r="R9648"/>
      <c r="S9648"/>
    </row>
    <row r="9649" spans="18:19" x14ac:dyDescent="0.25">
      <c r="R9649"/>
      <c r="S9649"/>
    </row>
    <row r="9650" spans="18:19" x14ac:dyDescent="0.25">
      <c r="R9650"/>
      <c r="S9650"/>
    </row>
    <row r="9651" spans="18:19" x14ac:dyDescent="0.25">
      <c r="R9651"/>
      <c r="S9651"/>
    </row>
    <row r="9652" spans="18:19" x14ac:dyDescent="0.25">
      <c r="R9652"/>
      <c r="S9652"/>
    </row>
    <row r="9653" spans="18:19" x14ac:dyDescent="0.25">
      <c r="R9653"/>
      <c r="S9653"/>
    </row>
    <row r="9654" spans="18:19" x14ac:dyDescent="0.25">
      <c r="R9654"/>
      <c r="S9654"/>
    </row>
    <row r="9655" spans="18:19" x14ac:dyDescent="0.25">
      <c r="R9655"/>
      <c r="S9655"/>
    </row>
    <row r="9656" spans="18:19" x14ac:dyDescent="0.25">
      <c r="R9656"/>
      <c r="S9656"/>
    </row>
    <row r="9657" spans="18:19" x14ac:dyDescent="0.25">
      <c r="R9657"/>
      <c r="S9657"/>
    </row>
    <row r="9658" spans="18:19" x14ac:dyDescent="0.25">
      <c r="R9658"/>
      <c r="S9658"/>
    </row>
    <row r="9659" spans="18:19" x14ac:dyDescent="0.25">
      <c r="R9659"/>
      <c r="S9659"/>
    </row>
    <row r="9660" spans="18:19" x14ac:dyDescent="0.25">
      <c r="R9660"/>
      <c r="S9660"/>
    </row>
    <row r="9661" spans="18:19" x14ac:dyDescent="0.25">
      <c r="R9661"/>
      <c r="S9661"/>
    </row>
    <row r="9662" spans="18:19" x14ac:dyDescent="0.25">
      <c r="R9662"/>
      <c r="S9662"/>
    </row>
    <row r="9663" spans="18:19" x14ac:dyDescent="0.25">
      <c r="R9663"/>
      <c r="S9663"/>
    </row>
    <row r="9664" spans="18:19" x14ac:dyDescent="0.25">
      <c r="R9664"/>
      <c r="S9664"/>
    </row>
    <row r="9665" spans="18:19" x14ac:dyDescent="0.25">
      <c r="R9665"/>
      <c r="S9665"/>
    </row>
    <row r="9666" spans="18:19" x14ac:dyDescent="0.25">
      <c r="R9666"/>
      <c r="S9666"/>
    </row>
    <row r="9667" spans="18:19" x14ac:dyDescent="0.25">
      <c r="R9667"/>
      <c r="S9667"/>
    </row>
    <row r="9668" spans="18:19" x14ac:dyDescent="0.25">
      <c r="R9668"/>
      <c r="S9668"/>
    </row>
    <row r="9669" spans="18:19" x14ac:dyDescent="0.25">
      <c r="R9669"/>
      <c r="S9669"/>
    </row>
    <row r="9670" spans="18:19" x14ac:dyDescent="0.25">
      <c r="R9670"/>
      <c r="S9670"/>
    </row>
    <row r="9671" spans="18:19" x14ac:dyDescent="0.25">
      <c r="R9671"/>
      <c r="S9671"/>
    </row>
    <row r="9672" spans="18:19" x14ac:dyDescent="0.25">
      <c r="R9672"/>
      <c r="S9672"/>
    </row>
    <row r="9673" spans="18:19" x14ac:dyDescent="0.25">
      <c r="R9673"/>
      <c r="S9673"/>
    </row>
    <row r="9674" spans="18:19" x14ac:dyDescent="0.25">
      <c r="R9674"/>
      <c r="S9674"/>
    </row>
    <row r="9675" spans="18:19" x14ac:dyDescent="0.25">
      <c r="R9675"/>
      <c r="S9675"/>
    </row>
    <row r="9676" spans="18:19" x14ac:dyDescent="0.25">
      <c r="R9676"/>
      <c r="S9676"/>
    </row>
    <row r="9677" spans="18:19" x14ac:dyDescent="0.25">
      <c r="R9677"/>
      <c r="S9677"/>
    </row>
    <row r="9678" spans="18:19" x14ac:dyDescent="0.25">
      <c r="R9678"/>
      <c r="S9678"/>
    </row>
    <row r="9679" spans="18:19" x14ac:dyDescent="0.25">
      <c r="R9679"/>
      <c r="S9679"/>
    </row>
    <row r="9680" spans="18:19" x14ac:dyDescent="0.25">
      <c r="R9680"/>
      <c r="S9680"/>
    </row>
    <row r="9681" spans="18:19" x14ac:dyDescent="0.25">
      <c r="R9681"/>
      <c r="S9681"/>
    </row>
    <row r="9682" spans="18:19" x14ac:dyDescent="0.25">
      <c r="R9682"/>
      <c r="S9682"/>
    </row>
    <row r="9683" spans="18:19" x14ac:dyDescent="0.25">
      <c r="R9683"/>
      <c r="S9683"/>
    </row>
    <row r="9684" spans="18:19" x14ac:dyDescent="0.25">
      <c r="R9684"/>
      <c r="S9684"/>
    </row>
    <row r="9685" spans="18:19" x14ac:dyDescent="0.25">
      <c r="R9685"/>
      <c r="S9685"/>
    </row>
    <row r="9686" spans="18:19" x14ac:dyDescent="0.25">
      <c r="R9686"/>
      <c r="S9686"/>
    </row>
    <row r="9687" spans="18:19" x14ac:dyDescent="0.25">
      <c r="R9687"/>
      <c r="S9687"/>
    </row>
    <row r="9688" spans="18:19" x14ac:dyDescent="0.25">
      <c r="R9688"/>
      <c r="S9688"/>
    </row>
    <row r="9689" spans="18:19" x14ac:dyDescent="0.25">
      <c r="R9689"/>
      <c r="S9689"/>
    </row>
    <row r="9690" spans="18:19" x14ac:dyDescent="0.25">
      <c r="R9690"/>
      <c r="S9690"/>
    </row>
    <row r="9691" spans="18:19" x14ac:dyDescent="0.25">
      <c r="R9691"/>
      <c r="S9691"/>
    </row>
    <row r="9692" spans="18:19" x14ac:dyDescent="0.25">
      <c r="R9692"/>
      <c r="S9692"/>
    </row>
    <row r="9693" spans="18:19" x14ac:dyDescent="0.25">
      <c r="R9693"/>
      <c r="S9693"/>
    </row>
    <row r="9694" spans="18:19" x14ac:dyDescent="0.25">
      <c r="R9694"/>
      <c r="S9694"/>
    </row>
    <row r="9695" spans="18:19" x14ac:dyDescent="0.25">
      <c r="R9695"/>
      <c r="S9695"/>
    </row>
    <row r="9696" spans="18:19" x14ac:dyDescent="0.25">
      <c r="R9696"/>
      <c r="S9696"/>
    </row>
    <row r="9697" spans="18:19" x14ac:dyDescent="0.25">
      <c r="R9697"/>
      <c r="S9697"/>
    </row>
    <row r="9698" spans="18:19" x14ac:dyDescent="0.25">
      <c r="R9698"/>
      <c r="S9698"/>
    </row>
    <row r="9699" spans="18:19" x14ac:dyDescent="0.25">
      <c r="R9699"/>
      <c r="S9699"/>
    </row>
    <row r="9700" spans="18:19" x14ac:dyDescent="0.25">
      <c r="R9700"/>
      <c r="S9700"/>
    </row>
    <row r="9701" spans="18:19" x14ac:dyDescent="0.25">
      <c r="R9701"/>
      <c r="S9701"/>
    </row>
    <row r="9702" spans="18:19" x14ac:dyDescent="0.25">
      <c r="R9702"/>
      <c r="S9702"/>
    </row>
    <row r="9703" spans="18:19" x14ac:dyDescent="0.25">
      <c r="R9703"/>
      <c r="S9703"/>
    </row>
    <row r="9704" spans="18:19" x14ac:dyDescent="0.25">
      <c r="R9704"/>
      <c r="S9704"/>
    </row>
    <row r="9705" spans="18:19" x14ac:dyDescent="0.25">
      <c r="R9705"/>
      <c r="S9705"/>
    </row>
    <row r="9706" spans="18:19" x14ac:dyDescent="0.25">
      <c r="R9706"/>
      <c r="S9706"/>
    </row>
    <row r="9707" spans="18:19" x14ac:dyDescent="0.25">
      <c r="R9707"/>
      <c r="S9707"/>
    </row>
    <row r="9708" spans="18:19" x14ac:dyDescent="0.25">
      <c r="R9708"/>
      <c r="S9708"/>
    </row>
    <row r="9709" spans="18:19" x14ac:dyDescent="0.25">
      <c r="R9709"/>
      <c r="S9709"/>
    </row>
    <row r="9710" spans="18:19" x14ac:dyDescent="0.25">
      <c r="R9710"/>
      <c r="S9710"/>
    </row>
    <row r="9711" spans="18:19" x14ac:dyDescent="0.25">
      <c r="R9711"/>
      <c r="S9711"/>
    </row>
    <row r="9712" spans="18:19" x14ac:dyDescent="0.25">
      <c r="R9712"/>
      <c r="S9712"/>
    </row>
    <row r="9713" spans="18:19" x14ac:dyDescent="0.25">
      <c r="R9713"/>
      <c r="S9713"/>
    </row>
    <row r="9714" spans="18:19" x14ac:dyDescent="0.25">
      <c r="R9714"/>
      <c r="S9714"/>
    </row>
    <row r="9715" spans="18:19" x14ac:dyDescent="0.25">
      <c r="R9715"/>
      <c r="S9715"/>
    </row>
    <row r="9716" spans="18:19" x14ac:dyDescent="0.25">
      <c r="R9716"/>
      <c r="S9716"/>
    </row>
    <row r="9717" spans="18:19" x14ac:dyDescent="0.25">
      <c r="R9717"/>
      <c r="S9717"/>
    </row>
    <row r="9718" spans="18:19" x14ac:dyDescent="0.25">
      <c r="R9718"/>
      <c r="S9718"/>
    </row>
    <row r="9719" spans="18:19" x14ac:dyDescent="0.25">
      <c r="R9719"/>
      <c r="S9719"/>
    </row>
    <row r="9720" spans="18:19" x14ac:dyDescent="0.25">
      <c r="R9720"/>
      <c r="S9720"/>
    </row>
    <row r="9721" spans="18:19" x14ac:dyDescent="0.25">
      <c r="R9721"/>
      <c r="S9721"/>
    </row>
    <row r="9722" spans="18:19" x14ac:dyDescent="0.25">
      <c r="R9722"/>
      <c r="S9722"/>
    </row>
    <row r="9723" spans="18:19" x14ac:dyDescent="0.25">
      <c r="R9723"/>
      <c r="S9723"/>
    </row>
    <row r="9724" spans="18:19" x14ac:dyDescent="0.25">
      <c r="R9724"/>
      <c r="S9724"/>
    </row>
    <row r="9725" spans="18:19" x14ac:dyDescent="0.25">
      <c r="R9725"/>
      <c r="S9725"/>
    </row>
    <row r="9726" spans="18:19" x14ac:dyDescent="0.25">
      <c r="R9726"/>
      <c r="S9726"/>
    </row>
    <row r="9727" spans="18:19" x14ac:dyDescent="0.25">
      <c r="R9727"/>
      <c r="S9727"/>
    </row>
    <row r="9728" spans="18:19" x14ac:dyDescent="0.25">
      <c r="R9728"/>
      <c r="S9728"/>
    </row>
    <row r="9729" spans="18:19" x14ac:dyDescent="0.25">
      <c r="R9729"/>
      <c r="S9729"/>
    </row>
    <row r="9730" spans="18:19" x14ac:dyDescent="0.25">
      <c r="R9730"/>
      <c r="S9730"/>
    </row>
    <row r="9731" spans="18:19" x14ac:dyDescent="0.25">
      <c r="R9731"/>
      <c r="S9731"/>
    </row>
    <row r="9732" spans="18:19" x14ac:dyDescent="0.25">
      <c r="R9732"/>
      <c r="S9732"/>
    </row>
    <row r="9733" spans="18:19" x14ac:dyDescent="0.25">
      <c r="R9733"/>
      <c r="S9733"/>
    </row>
    <row r="9734" spans="18:19" x14ac:dyDescent="0.25">
      <c r="R9734"/>
      <c r="S9734"/>
    </row>
    <row r="9735" spans="18:19" x14ac:dyDescent="0.25">
      <c r="R9735"/>
      <c r="S9735"/>
    </row>
    <row r="9736" spans="18:19" x14ac:dyDescent="0.25">
      <c r="R9736"/>
      <c r="S9736"/>
    </row>
    <row r="9737" spans="18:19" x14ac:dyDescent="0.25">
      <c r="R9737"/>
      <c r="S9737"/>
    </row>
    <row r="9738" spans="18:19" x14ac:dyDescent="0.25">
      <c r="R9738"/>
      <c r="S9738"/>
    </row>
    <row r="9739" spans="18:19" x14ac:dyDescent="0.25">
      <c r="R9739"/>
      <c r="S9739"/>
    </row>
    <row r="9740" spans="18:19" x14ac:dyDescent="0.25">
      <c r="R9740"/>
      <c r="S9740"/>
    </row>
    <row r="9741" spans="18:19" x14ac:dyDescent="0.25">
      <c r="R9741"/>
      <c r="S9741"/>
    </row>
    <row r="9742" spans="18:19" x14ac:dyDescent="0.25">
      <c r="R9742"/>
      <c r="S9742"/>
    </row>
    <row r="9743" spans="18:19" x14ac:dyDescent="0.25">
      <c r="R9743"/>
      <c r="S9743"/>
    </row>
    <row r="9744" spans="18:19" x14ac:dyDescent="0.25">
      <c r="R9744"/>
      <c r="S9744"/>
    </row>
    <row r="9745" spans="18:19" x14ac:dyDescent="0.25">
      <c r="R9745"/>
      <c r="S9745"/>
    </row>
    <row r="9746" spans="18:19" x14ac:dyDescent="0.25">
      <c r="R9746"/>
      <c r="S9746"/>
    </row>
    <row r="9747" spans="18:19" x14ac:dyDescent="0.25">
      <c r="R9747"/>
      <c r="S9747"/>
    </row>
    <row r="9748" spans="18:19" x14ac:dyDescent="0.25">
      <c r="R9748"/>
      <c r="S9748"/>
    </row>
    <row r="9749" spans="18:19" x14ac:dyDescent="0.25">
      <c r="R9749"/>
      <c r="S9749"/>
    </row>
    <row r="9750" spans="18:19" x14ac:dyDescent="0.25">
      <c r="R9750"/>
      <c r="S9750"/>
    </row>
    <row r="9751" spans="18:19" x14ac:dyDescent="0.25">
      <c r="R9751"/>
      <c r="S9751"/>
    </row>
    <row r="9752" spans="18:19" x14ac:dyDescent="0.25">
      <c r="R9752"/>
      <c r="S9752"/>
    </row>
    <row r="9753" spans="18:19" x14ac:dyDescent="0.25">
      <c r="R9753"/>
      <c r="S9753"/>
    </row>
    <row r="9754" spans="18:19" x14ac:dyDescent="0.25">
      <c r="R9754"/>
      <c r="S9754"/>
    </row>
    <row r="9755" spans="18:19" x14ac:dyDescent="0.25">
      <c r="R9755"/>
      <c r="S9755"/>
    </row>
    <row r="9756" spans="18:19" x14ac:dyDescent="0.25">
      <c r="R9756"/>
      <c r="S9756"/>
    </row>
    <row r="9757" spans="18:19" x14ac:dyDescent="0.25">
      <c r="R9757"/>
      <c r="S9757"/>
    </row>
    <row r="9758" spans="18:19" x14ac:dyDescent="0.25">
      <c r="R9758"/>
      <c r="S9758"/>
    </row>
    <row r="9759" spans="18:19" x14ac:dyDescent="0.25">
      <c r="R9759"/>
      <c r="S9759"/>
    </row>
    <row r="9760" spans="18:19" x14ac:dyDescent="0.25">
      <c r="R9760"/>
      <c r="S9760"/>
    </row>
    <row r="9761" spans="18:19" x14ac:dyDescent="0.25">
      <c r="R9761"/>
      <c r="S9761"/>
    </row>
    <row r="9762" spans="18:19" x14ac:dyDescent="0.25">
      <c r="R9762"/>
      <c r="S9762"/>
    </row>
    <row r="9763" spans="18:19" x14ac:dyDescent="0.25">
      <c r="R9763"/>
      <c r="S9763"/>
    </row>
    <row r="9764" spans="18:19" x14ac:dyDescent="0.25">
      <c r="R9764"/>
      <c r="S9764"/>
    </row>
    <row r="9765" spans="18:19" x14ac:dyDescent="0.25">
      <c r="R9765"/>
      <c r="S9765"/>
    </row>
    <row r="9766" spans="18:19" x14ac:dyDescent="0.25">
      <c r="R9766"/>
      <c r="S9766"/>
    </row>
    <row r="9767" spans="18:19" x14ac:dyDescent="0.25">
      <c r="R9767"/>
      <c r="S9767"/>
    </row>
    <row r="9768" spans="18:19" x14ac:dyDescent="0.25">
      <c r="R9768"/>
      <c r="S9768"/>
    </row>
    <row r="9769" spans="18:19" x14ac:dyDescent="0.25">
      <c r="R9769"/>
      <c r="S9769"/>
    </row>
    <row r="9770" spans="18:19" x14ac:dyDescent="0.25">
      <c r="R9770"/>
      <c r="S9770"/>
    </row>
    <row r="9771" spans="18:19" x14ac:dyDescent="0.25">
      <c r="R9771"/>
      <c r="S9771"/>
    </row>
    <row r="9772" spans="18:19" x14ac:dyDescent="0.25">
      <c r="R9772"/>
      <c r="S9772"/>
    </row>
    <row r="9773" spans="18:19" x14ac:dyDescent="0.25">
      <c r="R9773"/>
      <c r="S9773"/>
    </row>
    <row r="9774" spans="18:19" x14ac:dyDescent="0.25">
      <c r="R9774"/>
      <c r="S9774"/>
    </row>
    <row r="9775" spans="18:19" x14ac:dyDescent="0.25">
      <c r="R9775"/>
      <c r="S9775"/>
    </row>
    <row r="9776" spans="18:19" x14ac:dyDescent="0.25">
      <c r="R9776"/>
      <c r="S9776"/>
    </row>
    <row r="9777" spans="18:19" x14ac:dyDescent="0.25">
      <c r="R9777"/>
      <c r="S9777"/>
    </row>
    <row r="9778" spans="18:19" x14ac:dyDescent="0.25">
      <c r="R9778"/>
      <c r="S9778"/>
    </row>
    <row r="9779" spans="18:19" x14ac:dyDescent="0.25">
      <c r="R9779"/>
      <c r="S9779"/>
    </row>
    <row r="9780" spans="18:19" x14ac:dyDescent="0.25">
      <c r="R9780"/>
      <c r="S9780"/>
    </row>
    <row r="9781" spans="18:19" x14ac:dyDescent="0.25">
      <c r="R9781"/>
      <c r="S9781"/>
    </row>
    <row r="9782" spans="18:19" x14ac:dyDescent="0.25">
      <c r="R9782"/>
      <c r="S9782"/>
    </row>
    <row r="9783" spans="18:19" x14ac:dyDescent="0.25">
      <c r="R9783"/>
      <c r="S9783"/>
    </row>
    <row r="9784" spans="18:19" x14ac:dyDescent="0.25">
      <c r="R9784"/>
      <c r="S9784"/>
    </row>
    <row r="9785" spans="18:19" x14ac:dyDescent="0.25">
      <c r="R9785"/>
      <c r="S9785"/>
    </row>
    <row r="9786" spans="18:19" x14ac:dyDescent="0.25">
      <c r="R9786"/>
      <c r="S9786"/>
    </row>
    <row r="9787" spans="18:19" x14ac:dyDescent="0.25">
      <c r="R9787"/>
      <c r="S9787"/>
    </row>
    <row r="9788" spans="18:19" x14ac:dyDescent="0.25">
      <c r="R9788"/>
      <c r="S9788"/>
    </row>
    <row r="9789" spans="18:19" x14ac:dyDescent="0.25">
      <c r="R9789"/>
      <c r="S9789"/>
    </row>
    <row r="9790" spans="18:19" x14ac:dyDescent="0.25">
      <c r="R9790"/>
      <c r="S9790"/>
    </row>
    <row r="9791" spans="18:19" x14ac:dyDescent="0.25">
      <c r="R9791"/>
      <c r="S9791"/>
    </row>
    <row r="9792" spans="18:19" x14ac:dyDescent="0.25">
      <c r="R9792"/>
      <c r="S9792"/>
    </row>
    <row r="9793" spans="18:19" x14ac:dyDescent="0.25">
      <c r="R9793"/>
      <c r="S9793"/>
    </row>
    <row r="9794" spans="18:19" x14ac:dyDescent="0.25">
      <c r="R9794"/>
      <c r="S9794"/>
    </row>
    <row r="9795" spans="18:19" x14ac:dyDescent="0.25">
      <c r="R9795"/>
      <c r="S9795"/>
    </row>
    <row r="9796" spans="18:19" x14ac:dyDescent="0.25">
      <c r="R9796"/>
      <c r="S9796"/>
    </row>
    <row r="9797" spans="18:19" x14ac:dyDescent="0.25">
      <c r="R9797"/>
      <c r="S9797"/>
    </row>
    <row r="9798" spans="18:19" x14ac:dyDescent="0.25">
      <c r="R9798"/>
      <c r="S9798"/>
    </row>
    <row r="9799" spans="18:19" x14ac:dyDescent="0.25">
      <c r="R9799"/>
      <c r="S9799"/>
    </row>
    <row r="9800" spans="18:19" x14ac:dyDescent="0.25">
      <c r="R9800"/>
      <c r="S9800"/>
    </row>
    <row r="9801" spans="18:19" x14ac:dyDescent="0.25">
      <c r="R9801"/>
      <c r="S9801"/>
    </row>
    <row r="9802" spans="18:19" x14ac:dyDescent="0.25">
      <c r="R9802"/>
      <c r="S9802"/>
    </row>
    <row r="9803" spans="18:19" x14ac:dyDescent="0.25">
      <c r="R9803"/>
      <c r="S9803"/>
    </row>
    <row r="9804" spans="18:19" x14ac:dyDescent="0.25">
      <c r="R9804"/>
      <c r="S9804"/>
    </row>
    <row r="9805" spans="18:19" x14ac:dyDescent="0.25">
      <c r="R9805"/>
      <c r="S9805"/>
    </row>
    <row r="9806" spans="18:19" x14ac:dyDescent="0.25">
      <c r="R9806"/>
      <c r="S9806"/>
    </row>
    <row r="9807" spans="18:19" x14ac:dyDescent="0.25">
      <c r="R9807"/>
      <c r="S9807"/>
    </row>
    <row r="9808" spans="18:19" x14ac:dyDescent="0.25">
      <c r="R9808"/>
      <c r="S9808"/>
    </row>
    <row r="9809" spans="18:19" x14ac:dyDescent="0.25">
      <c r="R9809"/>
      <c r="S9809"/>
    </row>
    <row r="9810" spans="18:19" x14ac:dyDescent="0.25">
      <c r="R9810"/>
      <c r="S9810"/>
    </row>
    <row r="9811" spans="18:19" x14ac:dyDescent="0.25">
      <c r="R9811"/>
      <c r="S9811"/>
    </row>
    <row r="9812" spans="18:19" x14ac:dyDescent="0.25">
      <c r="R9812"/>
      <c r="S9812"/>
    </row>
    <row r="9813" spans="18:19" x14ac:dyDescent="0.25">
      <c r="R9813"/>
      <c r="S9813"/>
    </row>
    <row r="9814" spans="18:19" x14ac:dyDescent="0.25">
      <c r="R9814"/>
      <c r="S9814"/>
    </row>
    <row r="9815" spans="18:19" x14ac:dyDescent="0.25">
      <c r="R9815"/>
      <c r="S9815"/>
    </row>
    <row r="9816" spans="18:19" x14ac:dyDescent="0.25">
      <c r="R9816"/>
      <c r="S9816"/>
    </row>
    <row r="9817" spans="18:19" x14ac:dyDescent="0.25">
      <c r="R9817"/>
      <c r="S9817"/>
    </row>
    <row r="9818" spans="18:19" x14ac:dyDescent="0.25">
      <c r="R9818"/>
      <c r="S9818"/>
    </row>
    <row r="9819" spans="18:19" x14ac:dyDescent="0.25">
      <c r="R9819"/>
      <c r="S9819"/>
    </row>
    <row r="9820" spans="18:19" x14ac:dyDescent="0.25">
      <c r="R9820"/>
      <c r="S9820"/>
    </row>
    <row r="9821" spans="18:19" x14ac:dyDescent="0.25">
      <c r="R9821"/>
      <c r="S9821"/>
    </row>
    <row r="9822" spans="18:19" x14ac:dyDescent="0.25">
      <c r="R9822"/>
      <c r="S9822"/>
    </row>
    <row r="9823" spans="18:19" x14ac:dyDescent="0.25">
      <c r="R9823"/>
      <c r="S9823"/>
    </row>
    <row r="9824" spans="18:19" x14ac:dyDescent="0.25">
      <c r="R9824"/>
      <c r="S9824"/>
    </row>
    <row r="9825" spans="18:19" x14ac:dyDescent="0.25">
      <c r="R9825"/>
      <c r="S9825"/>
    </row>
    <row r="9826" spans="18:19" x14ac:dyDescent="0.25">
      <c r="R9826"/>
      <c r="S9826"/>
    </row>
    <row r="9827" spans="18:19" x14ac:dyDescent="0.25">
      <c r="R9827"/>
      <c r="S9827"/>
    </row>
    <row r="9828" spans="18:19" x14ac:dyDescent="0.25">
      <c r="R9828"/>
      <c r="S9828"/>
    </row>
    <row r="9829" spans="18:19" x14ac:dyDescent="0.25">
      <c r="R9829"/>
      <c r="S9829"/>
    </row>
    <row r="9830" spans="18:19" x14ac:dyDescent="0.25">
      <c r="R9830"/>
      <c r="S9830"/>
    </row>
    <row r="9831" spans="18:19" x14ac:dyDescent="0.25">
      <c r="R9831"/>
      <c r="S9831"/>
    </row>
    <row r="9832" spans="18:19" x14ac:dyDescent="0.25">
      <c r="R9832"/>
      <c r="S9832"/>
    </row>
    <row r="9833" spans="18:19" x14ac:dyDescent="0.25">
      <c r="R9833"/>
      <c r="S9833"/>
    </row>
    <row r="9834" spans="18:19" x14ac:dyDescent="0.25">
      <c r="R9834"/>
      <c r="S9834"/>
    </row>
    <row r="9835" spans="18:19" x14ac:dyDescent="0.25">
      <c r="R9835"/>
      <c r="S9835"/>
    </row>
    <row r="9836" spans="18:19" x14ac:dyDescent="0.25">
      <c r="R9836"/>
      <c r="S9836"/>
    </row>
    <row r="9837" spans="18:19" x14ac:dyDescent="0.25">
      <c r="R9837"/>
      <c r="S9837"/>
    </row>
    <row r="9838" spans="18:19" x14ac:dyDescent="0.25">
      <c r="R9838"/>
      <c r="S9838"/>
    </row>
    <row r="9839" spans="18:19" x14ac:dyDescent="0.25">
      <c r="R9839"/>
      <c r="S9839"/>
    </row>
    <row r="9840" spans="18:19" x14ac:dyDescent="0.25">
      <c r="R9840"/>
      <c r="S9840"/>
    </row>
    <row r="9841" spans="18:19" x14ac:dyDescent="0.25">
      <c r="R9841"/>
      <c r="S9841"/>
    </row>
    <row r="9842" spans="18:19" x14ac:dyDescent="0.25">
      <c r="R9842"/>
      <c r="S9842"/>
    </row>
    <row r="9843" spans="18:19" x14ac:dyDescent="0.25">
      <c r="R9843"/>
      <c r="S9843"/>
    </row>
    <row r="9844" spans="18:19" x14ac:dyDescent="0.25">
      <c r="R9844"/>
      <c r="S9844"/>
    </row>
    <row r="9845" spans="18:19" x14ac:dyDescent="0.25">
      <c r="R9845"/>
      <c r="S9845"/>
    </row>
    <row r="9846" spans="18:19" x14ac:dyDescent="0.25">
      <c r="R9846"/>
      <c r="S9846"/>
    </row>
    <row r="9847" spans="18:19" x14ac:dyDescent="0.25">
      <c r="R9847"/>
      <c r="S9847"/>
    </row>
    <row r="9848" spans="18:19" x14ac:dyDescent="0.25">
      <c r="R9848"/>
      <c r="S9848"/>
    </row>
    <row r="9849" spans="18:19" x14ac:dyDescent="0.25">
      <c r="R9849"/>
      <c r="S9849"/>
    </row>
    <row r="9850" spans="18:19" x14ac:dyDescent="0.25">
      <c r="R9850"/>
      <c r="S9850"/>
    </row>
    <row r="9851" spans="18:19" x14ac:dyDescent="0.25">
      <c r="R9851"/>
      <c r="S9851"/>
    </row>
    <row r="9852" spans="18:19" x14ac:dyDescent="0.25">
      <c r="R9852"/>
      <c r="S9852"/>
    </row>
    <row r="9853" spans="18:19" x14ac:dyDescent="0.25">
      <c r="R9853"/>
      <c r="S9853"/>
    </row>
    <row r="9854" spans="18:19" x14ac:dyDescent="0.25">
      <c r="R9854"/>
      <c r="S9854"/>
    </row>
    <row r="9855" spans="18:19" x14ac:dyDescent="0.25">
      <c r="R9855"/>
      <c r="S9855"/>
    </row>
    <row r="9856" spans="18:19" x14ac:dyDescent="0.25">
      <c r="R9856"/>
      <c r="S9856"/>
    </row>
    <row r="9857" spans="18:19" x14ac:dyDescent="0.25">
      <c r="R9857"/>
      <c r="S9857"/>
    </row>
    <row r="9858" spans="18:19" x14ac:dyDescent="0.25">
      <c r="R9858"/>
      <c r="S9858"/>
    </row>
    <row r="9859" spans="18:19" x14ac:dyDescent="0.25">
      <c r="R9859"/>
      <c r="S9859"/>
    </row>
    <row r="9860" spans="18:19" x14ac:dyDescent="0.25">
      <c r="R9860"/>
      <c r="S9860"/>
    </row>
    <row r="9861" spans="18:19" x14ac:dyDescent="0.25">
      <c r="R9861"/>
      <c r="S9861"/>
    </row>
    <row r="9862" spans="18:19" x14ac:dyDescent="0.25">
      <c r="R9862"/>
      <c r="S9862"/>
    </row>
    <row r="9863" spans="18:19" x14ac:dyDescent="0.25">
      <c r="R9863"/>
      <c r="S9863"/>
    </row>
    <row r="9864" spans="18:19" x14ac:dyDescent="0.25">
      <c r="R9864"/>
      <c r="S9864"/>
    </row>
    <row r="9865" spans="18:19" x14ac:dyDescent="0.25">
      <c r="R9865"/>
      <c r="S9865"/>
    </row>
    <row r="9866" spans="18:19" x14ac:dyDescent="0.25">
      <c r="R9866"/>
      <c r="S9866"/>
    </row>
    <row r="9867" spans="18:19" x14ac:dyDescent="0.25">
      <c r="R9867"/>
      <c r="S9867"/>
    </row>
    <row r="9868" spans="18:19" x14ac:dyDescent="0.25">
      <c r="R9868"/>
      <c r="S9868"/>
    </row>
    <row r="9869" spans="18:19" x14ac:dyDescent="0.25">
      <c r="R9869"/>
      <c r="S9869"/>
    </row>
    <row r="9870" spans="18:19" x14ac:dyDescent="0.25">
      <c r="R9870"/>
      <c r="S9870"/>
    </row>
    <row r="9871" spans="18:19" x14ac:dyDescent="0.25">
      <c r="R9871"/>
      <c r="S9871"/>
    </row>
    <row r="9872" spans="18:19" x14ac:dyDescent="0.25">
      <c r="R9872"/>
      <c r="S9872"/>
    </row>
    <row r="9873" spans="18:19" x14ac:dyDescent="0.25">
      <c r="R9873"/>
      <c r="S9873"/>
    </row>
    <row r="9874" spans="18:19" x14ac:dyDescent="0.25">
      <c r="R9874"/>
      <c r="S9874"/>
    </row>
    <row r="9875" spans="18:19" x14ac:dyDescent="0.25">
      <c r="R9875"/>
      <c r="S9875"/>
    </row>
    <row r="9876" spans="18:19" x14ac:dyDescent="0.25">
      <c r="R9876"/>
      <c r="S9876"/>
    </row>
    <row r="9877" spans="18:19" x14ac:dyDescent="0.25">
      <c r="R9877"/>
      <c r="S9877"/>
    </row>
    <row r="9878" spans="18:19" x14ac:dyDescent="0.25">
      <c r="R9878"/>
      <c r="S9878"/>
    </row>
    <row r="9879" spans="18:19" x14ac:dyDescent="0.25">
      <c r="R9879"/>
      <c r="S9879"/>
    </row>
    <row r="9880" spans="18:19" x14ac:dyDescent="0.25">
      <c r="R9880"/>
      <c r="S9880"/>
    </row>
    <row r="9881" spans="18:19" x14ac:dyDescent="0.25">
      <c r="R9881"/>
      <c r="S9881"/>
    </row>
    <row r="9882" spans="18:19" x14ac:dyDescent="0.25">
      <c r="R9882"/>
      <c r="S9882"/>
    </row>
    <row r="9883" spans="18:19" x14ac:dyDescent="0.25">
      <c r="R9883"/>
      <c r="S9883"/>
    </row>
    <row r="9884" spans="18:19" x14ac:dyDescent="0.25">
      <c r="R9884"/>
      <c r="S9884"/>
    </row>
    <row r="9885" spans="18:19" x14ac:dyDescent="0.25">
      <c r="R9885"/>
      <c r="S9885"/>
    </row>
    <row r="9886" spans="18:19" x14ac:dyDescent="0.25">
      <c r="R9886"/>
      <c r="S9886"/>
    </row>
    <row r="9887" spans="18:19" x14ac:dyDescent="0.25">
      <c r="R9887"/>
      <c r="S9887"/>
    </row>
    <row r="9888" spans="18:19" x14ac:dyDescent="0.25">
      <c r="R9888"/>
      <c r="S9888"/>
    </row>
    <row r="9889" spans="18:19" x14ac:dyDescent="0.25">
      <c r="R9889"/>
      <c r="S9889"/>
    </row>
    <row r="9890" spans="18:19" x14ac:dyDescent="0.25">
      <c r="R9890"/>
      <c r="S9890"/>
    </row>
    <row r="9891" spans="18:19" x14ac:dyDescent="0.25">
      <c r="R9891"/>
      <c r="S9891"/>
    </row>
    <row r="9892" spans="18:19" x14ac:dyDescent="0.25">
      <c r="R9892"/>
      <c r="S9892"/>
    </row>
    <row r="9893" spans="18:19" x14ac:dyDescent="0.25">
      <c r="R9893"/>
      <c r="S9893"/>
    </row>
    <row r="9894" spans="18:19" x14ac:dyDescent="0.25">
      <c r="R9894"/>
      <c r="S9894"/>
    </row>
    <row r="9895" spans="18:19" x14ac:dyDescent="0.25">
      <c r="R9895"/>
      <c r="S9895"/>
    </row>
    <row r="9896" spans="18:19" x14ac:dyDescent="0.25">
      <c r="R9896"/>
      <c r="S9896"/>
    </row>
    <row r="9897" spans="18:19" x14ac:dyDescent="0.25">
      <c r="R9897"/>
      <c r="S9897"/>
    </row>
    <row r="9898" spans="18:19" x14ac:dyDescent="0.25">
      <c r="R9898"/>
      <c r="S9898"/>
    </row>
    <row r="9899" spans="18:19" x14ac:dyDescent="0.25">
      <c r="R9899"/>
      <c r="S9899"/>
    </row>
    <row r="9900" spans="18:19" x14ac:dyDescent="0.25">
      <c r="R9900"/>
      <c r="S9900"/>
    </row>
    <row r="9901" spans="18:19" x14ac:dyDescent="0.25">
      <c r="R9901"/>
      <c r="S9901"/>
    </row>
    <row r="9902" spans="18:19" x14ac:dyDescent="0.25">
      <c r="R9902"/>
      <c r="S9902"/>
    </row>
    <row r="9903" spans="18:19" x14ac:dyDescent="0.25">
      <c r="R9903"/>
      <c r="S9903"/>
    </row>
    <row r="9904" spans="18:19" x14ac:dyDescent="0.25">
      <c r="R9904"/>
      <c r="S9904"/>
    </row>
    <row r="9905" spans="18:19" x14ac:dyDescent="0.25">
      <c r="R9905"/>
      <c r="S9905"/>
    </row>
    <row r="9906" spans="18:19" x14ac:dyDescent="0.25">
      <c r="R9906"/>
      <c r="S9906"/>
    </row>
    <row r="9907" spans="18:19" x14ac:dyDescent="0.25">
      <c r="R9907"/>
      <c r="S9907"/>
    </row>
    <row r="9908" spans="18:19" x14ac:dyDescent="0.25">
      <c r="R9908"/>
      <c r="S9908"/>
    </row>
    <row r="9909" spans="18:19" x14ac:dyDescent="0.25">
      <c r="R9909"/>
      <c r="S9909"/>
    </row>
    <row r="9910" spans="18:19" x14ac:dyDescent="0.25">
      <c r="R9910"/>
      <c r="S9910"/>
    </row>
    <row r="9911" spans="18:19" x14ac:dyDescent="0.25">
      <c r="R9911"/>
      <c r="S9911"/>
    </row>
    <row r="9912" spans="18:19" x14ac:dyDescent="0.25">
      <c r="R9912"/>
      <c r="S9912"/>
    </row>
    <row r="9913" spans="18:19" x14ac:dyDescent="0.25">
      <c r="R9913"/>
      <c r="S9913"/>
    </row>
    <row r="9914" spans="18:19" x14ac:dyDescent="0.25">
      <c r="R9914"/>
      <c r="S9914"/>
    </row>
    <row r="9915" spans="18:19" x14ac:dyDescent="0.25">
      <c r="R9915"/>
      <c r="S9915"/>
    </row>
    <row r="9916" spans="18:19" x14ac:dyDescent="0.25">
      <c r="R9916"/>
      <c r="S9916"/>
    </row>
    <row r="9917" spans="18:19" x14ac:dyDescent="0.25">
      <c r="R9917"/>
      <c r="S9917"/>
    </row>
    <row r="9918" spans="18:19" x14ac:dyDescent="0.25">
      <c r="R9918"/>
      <c r="S9918"/>
    </row>
    <row r="9919" spans="18:19" x14ac:dyDescent="0.25">
      <c r="R9919"/>
      <c r="S9919"/>
    </row>
    <row r="9920" spans="18:19" x14ac:dyDescent="0.25">
      <c r="R9920"/>
      <c r="S9920"/>
    </row>
    <row r="9921" spans="18:19" x14ac:dyDescent="0.25">
      <c r="R9921"/>
      <c r="S9921"/>
    </row>
    <row r="9922" spans="18:19" x14ac:dyDescent="0.25">
      <c r="R9922"/>
      <c r="S9922"/>
    </row>
    <row r="9923" spans="18:19" x14ac:dyDescent="0.25">
      <c r="R9923"/>
      <c r="S9923"/>
    </row>
    <row r="9924" spans="18:19" x14ac:dyDescent="0.25">
      <c r="R9924"/>
      <c r="S9924"/>
    </row>
    <row r="9925" spans="18:19" x14ac:dyDescent="0.25">
      <c r="R9925"/>
      <c r="S9925"/>
    </row>
    <row r="9926" spans="18:19" x14ac:dyDescent="0.25">
      <c r="R9926"/>
      <c r="S9926"/>
    </row>
    <row r="9927" spans="18:19" x14ac:dyDescent="0.25">
      <c r="R9927"/>
      <c r="S9927"/>
    </row>
    <row r="9928" spans="18:19" x14ac:dyDescent="0.25">
      <c r="R9928"/>
      <c r="S9928"/>
    </row>
    <row r="9929" spans="18:19" x14ac:dyDescent="0.25">
      <c r="R9929"/>
      <c r="S9929"/>
    </row>
    <row r="9930" spans="18:19" x14ac:dyDescent="0.25">
      <c r="R9930"/>
      <c r="S9930"/>
    </row>
    <row r="9931" spans="18:19" x14ac:dyDescent="0.25">
      <c r="R9931"/>
      <c r="S9931"/>
    </row>
    <row r="9932" spans="18:19" x14ac:dyDescent="0.25">
      <c r="R9932"/>
      <c r="S9932"/>
    </row>
    <row r="9933" spans="18:19" x14ac:dyDescent="0.25">
      <c r="R9933"/>
      <c r="S9933"/>
    </row>
    <row r="9934" spans="18:19" x14ac:dyDescent="0.25">
      <c r="R9934"/>
      <c r="S9934"/>
    </row>
    <row r="9935" spans="18:19" x14ac:dyDescent="0.25">
      <c r="R9935"/>
      <c r="S9935"/>
    </row>
    <row r="9936" spans="18:19" x14ac:dyDescent="0.25">
      <c r="R9936"/>
      <c r="S9936"/>
    </row>
    <row r="9937" spans="18:19" x14ac:dyDescent="0.25">
      <c r="R9937"/>
      <c r="S9937"/>
    </row>
    <row r="9938" spans="18:19" x14ac:dyDescent="0.25">
      <c r="R9938"/>
      <c r="S9938"/>
    </row>
    <row r="9939" spans="18:19" x14ac:dyDescent="0.25">
      <c r="R9939"/>
      <c r="S9939"/>
    </row>
    <row r="9940" spans="18:19" x14ac:dyDescent="0.25">
      <c r="R9940"/>
      <c r="S9940"/>
    </row>
    <row r="9941" spans="18:19" x14ac:dyDescent="0.25">
      <c r="R9941"/>
      <c r="S9941"/>
    </row>
    <row r="9942" spans="18:19" x14ac:dyDescent="0.25">
      <c r="R9942"/>
      <c r="S9942"/>
    </row>
    <row r="9943" spans="18:19" x14ac:dyDescent="0.25">
      <c r="R9943"/>
      <c r="S9943"/>
    </row>
    <row r="9944" spans="18:19" x14ac:dyDescent="0.25">
      <c r="R9944"/>
      <c r="S9944"/>
    </row>
    <row r="9945" spans="18:19" x14ac:dyDescent="0.25">
      <c r="R9945"/>
      <c r="S9945"/>
    </row>
    <row r="9946" spans="18:19" x14ac:dyDescent="0.25">
      <c r="R9946"/>
      <c r="S9946"/>
    </row>
    <row r="9947" spans="18:19" x14ac:dyDescent="0.25">
      <c r="R9947"/>
      <c r="S9947"/>
    </row>
    <row r="9948" spans="18:19" x14ac:dyDescent="0.25">
      <c r="R9948"/>
      <c r="S9948"/>
    </row>
    <row r="9949" spans="18:19" x14ac:dyDescent="0.25">
      <c r="R9949"/>
      <c r="S9949"/>
    </row>
    <row r="9950" spans="18:19" x14ac:dyDescent="0.25">
      <c r="R9950"/>
      <c r="S9950"/>
    </row>
    <row r="9951" spans="18:19" x14ac:dyDescent="0.25">
      <c r="R9951"/>
      <c r="S9951"/>
    </row>
    <row r="9952" spans="18:19" x14ac:dyDescent="0.25">
      <c r="R9952"/>
      <c r="S9952"/>
    </row>
    <row r="9953" spans="18:19" x14ac:dyDescent="0.25">
      <c r="R9953"/>
      <c r="S9953"/>
    </row>
    <row r="9954" spans="18:19" x14ac:dyDescent="0.25">
      <c r="R9954"/>
      <c r="S9954"/>
    </row>
    <row r="9955" spans="18:19" x14ac:dyDescent="0.25">
      <c r="R9955"/>
      <c r="S9955"/>
    </row>
    <row r="9956" spans="18:19" x14ac:dyDescent="0.25">
      <c r="R9956"/>
      <c r="S9956"/>
    </row>
    <row r="9957" spans="18:19" x14ac:dyDescent="0.25">
      <c r="R9957"/>
      <c r="S9957"/>
    </row>
    <row r="9958" spans="18:19" x14ac:dyDescent="0.25">
      <c r="R9958"/>
      <c r="S9958"/>
    </row>
    <row r="9959" spans="18:19" x14ac:dyDescent="0.25">
      <c r="R9959"/>
      <c r="S9959"/>
    </row>
    <row r="9960" spans="18:19" x14ac:dyDescent="0.25">
      <c r="R9960"/>
      <c r="S9960"/>
    </row>
    <row r="9961" spans="18:19" x14ac:dyDescent="0.25">
      <c r="R9961"/>
      <c r="S9961"/>
    </row>
    <row r="9962" spans="18:19" x14ac:dyDescent="0.25">
      <c r="R9962"/>
      <c r="S9962"/>
    </row>
    <row r="9963" spans="18:19" x14ac:dyDescent="0.25">
      <c r="R9963"/>
      <c r="S9963"/>
    </row>
    <row r="9964" spans="18:19" x14ac:dyDescent="0.25">
      <c r="R9964"/>
      <c r="S9964"/>
    </row>
    <row r="9965" spans="18:19" x14ac:dyDescent="0.25">
      <c r="R9965"/>
      <c r="S9965"/>
    </row>
    <row r="9966" spans="18:19" x14ac:dyDescent="0.25">
      <c r="R9966"/>
      <c r="S9966"/>
    </row>
    <row r="9967" spans="18:19" x14ac:dyDescent="0.25">
      <c r="R9967"/>
      <c r="S9967"/>
    </row>
    <row r="9968" spans="18:19" x14ac:dyDescent="0.25">
      <c r="R9968"/>
      <c r="S9968"/>
    </row>
    <row r="9969" spans="18:19" x14ac:dyDescent="0.25">
      <c r="R9969"/>
      <c r="S9969"/>
    </row>
    <row r="9970" spans="18:19" x14ac:dyDescent="0.25">
      <c r="R9970"/>
      <c r="S9970"/>
    </row>
    <row r="9971" spans="18:19" x14ac:dyDescent="0.25">
      <c r="R9971"/>
      <c r="S9971"/>
    </row>
    <row r="9972" spans="18:19" x14ac:dyDescent="0.25">
      <c r="R9972"/>
      <c r="S9972"/>
    </row>
    <row r="9973" spans="18:19" x14ac:dyDescent="0.25">
      <c r="R9973"/>
      <c r="S9973"/>
    </row>
    <row r="9974" spans="18:19" x14ac:dyDescent="0.25">
      <c r="R9974"/>
      <c r="S9974"/>
    </row>
    <row r="9975" spans="18:19" x14ac:dyDescent="0.25">
      <c r="R9975"/>
      <c r="S9975"/>
    </row>
    <row r="9976" spans="18:19" x14ac:dyDescent="0.25">
      <c r="R9976"/>
      <c r="S9976"/>
    </row>
    <row r="9977" spans="18:19" x14ac:dyDescent="0.25">
      <c r="R9977"/>
      <c r="S9977"/>
    </row>
    <row r="9978" spans="18:19" x14ac:dyDescent="0.25">
      <c r="R9978"/>
      <c r="S9978"/>
    </row>
    <row r="9979" spans="18:19" x14ac:dyDescent="0.25">
      <c r="R9979"/>
      <c r="S9979"/>
    </row>
    <row r="9980" spans="18:19" x14ac:dyDescent="0.25">
      <c r="R9980"/>
      <c r="S9980"/>
    </row>
    <row r="9981" spans="18:19" x14ac:dyDescent="0.25">
      <c r="R9981"/>
      <c r="S9981"/>
    </row>
    <row r="9982" spans="18:19" x14ac:dyDescent="0.25">
      <c r="R9982"/>
      <c r="S9982"/>
    </row>
    <row r="9983" spans="18:19" x14ac:dyDescent="0.25">
      <c r="R9983"/>
      <c r="S9983"/>
    </row>
    <row r="9984" spans="18:19" x14ac:dyDescent="0.25">
      <c r="R9984"/>
      <c r="S9984"/>
    </row>
    <row r="9985" spans="18:19" x14ac:dyDescent="0.25">
      <c r="R9985"/>
      <c r="S9985"/>
    </row>
    <row r="9986" spans="18:19" x14ac:dyDescent="0.25">
      <c r="R9986"/>
      <c r="S9986"/>
    </row>
    <row r="9987" spans="18:19" x14ac:dyDescent="0.25">
      <c r="R9987"/>
      <c r="S9987"/>
    </row>
    <row r="9988" spans="18:19" x14ac:dyDescent="0.25">
      <c r="R9988"/>
      <c r="S9988"/>
    </row>
    <row r="9989" spans="18:19" x14ac:dyDescent="0.25">
      <c r="R9989"/>
      <c r="S9989"/>
    </row>
    <row r="9990" spans="18:19" x14ac:dyDescent="0.25">
      <c r="R9990"/>
      <c r="S9990"/>
    </row>
    <row r="9991" spans="18:19" x14ac:dyDescent="0.25">
      <c r="R9991"/>
      <c r="S9991"/>
    </row>
    <row r="9992" spans="18:19" x14ac:dyDescent="0.25">
      <c r="R9992"/>
      <c r="S9992"/>
    </row>
    <row r="9993" spans="18:19" x14ac:dyDescent="0.25">
      <c r="R9993"/>
      <c r="S9993"/>
    </row>
    <row r="9994" spans="18:19" x14ac:dyDescent="0.25">
      <c r="R9994"/>
      <c r="S9994"/>
    </row>
    <row r="9995" spans="18:19" x14ac:dyDescent="0.25">
      <c r="R9995"/>
      <c r="S9995"/>
    </row>
    <row r="9996" spans="18:19" x14ac:dyDescent="0.25">
      <c r="R9996"/>
      <c r="S9996"/>
    </row>
    <row r="9997" spans="18:19" x14ac:dyDescent="0.25">
      <c r="R9997"/>
      <c r="S9997"/>
    </row>
    <row r="9998" spans="18:19" x14ac:dyDescent="0.25">
      <c r="R9998"/>
      <c r="S9998"/>
    </row>
    <row r="9999" spans="18:19" x14ac:dyDescent="0.25">
      <c r="R9999"/>
      <c r="S9999"/>
    </row>
    <row r="10000" spans="18:19" x14ac:dyDescent="0.25">
      <c r="R10000"/>
      <c r="S10000"/>
    </row>
  </sheetData>
  <mergeCells count="2">
    <mergeCell ref="B1:E1"/>
    <mergeCell ref="G1:S1"/>
  </mergeCells>
  <phoneticPr fontId="38" type="noConversion"/>
  <conditionalFormatting sqref="K515:K1048576 K2:S2">
    <cfRule type="containsText" dxfId="7" priority="7" operator="containsText" text="Borrado">
      <formula>NOT(ISERROR(SEARCH("Borrado",K2)))</formula>
    </cfRule>
  </conditionalFormatting>
  <conditionalFormatting sqref="I2 I2001:I1048576">
    <cfRule type="containsText" dxfId="6" priority="5" operator="containsText" text="Liberada">
      <formula>NOT(ISERROR(SEARCH("Liberada",I2)))</formula>
    </cfRule>
    <cfRule type="containsText" dxfId="5" priority="6" operator="containsText" text="Con posibilidad de liberación">
      <formula>NOT(ISERROR(SEARCH("Con posibilidad de liberación",I2)))</formula>
    </cfRule>
  </conditionalFormatting>
  <conditionalFormatting sqref="K511:K514">
    <cfRule type="containsText" dxfId="4" priority="4" operator="containsText" text="Borrado">
      <formula>NOT(ISERROR(SEARCH("Borrado",K511)))</formula>
    </cfRule>
  </conditionalFormatting>
  <conditionalFormatting sqref="K43:K510">
    <cfRule type="containsText" dxfId="3" priority="3" operator="containsText" text="Borrado">
      <formula>NOT(ISERROR(SEARCH("Borrado",K43)))</formula>
    </cfRule>
  </conditionalFormatting>
  <conditionalFormatting sqref="K3:K42">
    <cfRule type="containsText" dxfId="2" priority="1" operator="containsText" text="Borrado">
      <formula>NOT(ISERROR(SEARCH("Borrado",K3)))</formula>
    </cfRule>
  </conditionalFormatting>
  <dataValidations count="3">
    <dataValidation type="list" allowBlank="1" showInputMessage="1" showErrorMessage="1" sqref="D3:D37" xr:uid="{496606F0-5230-43B8-97B4-8EAA42215171}">
      <formula1>INDIRECT(C3)</formula1>
    </dataValidation>
    <dataValidation type="list" allowBlank="1" showInputMessage="1" showErrorMessage="1" sqref="E5:E21" xr:uid="{8B297D06-0255-44B0-9690-0D271AF2C6D8}">
      <formula1>INDIRECT(C5 &amp; "_T3")</formula1>
    </dataValidation>
    <dataValidation type="list" allowBlank="1" showInputMessage="1" showErrorMessage="1" sqref="E4" xr:uid="{7A5A65B2-777C-45E5-B8F2-C65F848CBEAE}">
      <formula1>INDIRECT(C3 &amp; "_T3")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mpiarCeldas">
                <anchor moveWithCells="1" sizeWithCells="1">
                  <from>
                    <xdr:col>1</xdr:col>
                    <xdr:colOff>209550</xdr:colOff>
                    <xdr:row>7</xdr:row>
                    <xdr:rowOff>152400</xdr:rowOff>
                  </from>
                  <to>
                    <xdr:col>1</xdr:col>
                    <xdr:colOff>1190625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rTablas">
                <anchor moveWithCells="1" sizeWithCells="1">
                  <from>
                    <xdr:col>1</xdr:col>
                    <xdr:colOff>219075</xdr:colOff>
                    <xdr:row>5</xdr:row>
                    <xdr:rowOff>152400</xdr:rowOff>
                  </from>
                  <to>
                    <xdr:col>1</xdr:col>
                    <xdr:colOff>1190625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main">
                <anchor moveWithCells="1" sizeWithCells="1">
                  <from>
                    <xdr:col>1</xdr:col>
                    <xdr:colOff>219075</xdr:colOff>
                    <xdr:row>3</xdr:row>
                    <xdr:rowOff>123825</xdr:rowOff>
                  </from>
                  <to>
                    <xdr:col>1</xdr:col>
                    <xdr:colOff>1190625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rectificar_tabla">
                <anchor moveWithCells="1" sizeWithCells="1">
                  <from>
                    <xdr:col>1</xdr:col>
                    <xdr:colOff>209550</xdr:colOff>
                    <xdr:row>10</xdr:row>
                    <xdr:rowOff>28575</xdr:rowOff>
                  </from>
                  <to>
                    <xdr:col>1</xdr:col>
                    <xdr:colOff>1190625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limpiar_tabla">
                <anchor moveWithCells="1" sizeWithCells="1">
                  <from>
                    <xdr:col>1</xdr:col>
                    <xdr:colOff>209550</xdr:colOff>
                    <xdr:row>12</xdr:row>
                    <xdr:rowOff>76200</xdr:rowOff>
                  </from>
                  <to>
                    <xdr:col>1</xdr:col>
                    <xdr:colOff>1190625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m">
                <anchor moveWithCells="1" sizeWithCells="1">
                  <from>
                    <xdr:col>1</xdr:col>
                    <xdr:colOff>200025</xdr:colOff>
                    <xdr:row>14</xdr:row>
                    <xdr:rowOff>142875</xdr:rowOff>
                  </from>
                  <to>
                    <xdr:col>1</xdr:col>
                    <xdr:colOff>1171575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AF5C65-7B53-4F54-8CE9-AA9FD14F8490}">
          <x14:formula1>
            <xm:f>'Revision de estado'!$A$1:$J$1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9B6FD-B112-423D-9B42-9EB1EA357B04}">
  <sheetPr codeName="Hoja7"/>
  <dimension ref="A1:B12"/>
  <sheetViews>
    <sheetView workbookViewId="0">
      <selection activeCell="C16" sqref="C16"/>
    </sheetView>
  </sheetViews>
  <sheetFormatPr baseColWidth="10" defaultColWidth="11.5703125" defaultRowHeight="15" x14ac:dyDescent="0.25"/>
  <cols>
    <col min="1" max="1" width="33" style="164" bestFit="1" customWidth="1"/>
    <col min="2" max="16384" width="11.5703125" style="164"/>
  </cols>
  <sheetData>
    <row r="1" spans="1:2" ht="15.75" x14ac:dyDescent="0.25">
      <c r="A1" s="163" t="s">
        <v>24</v>
      </c>
      <c r="B1" s="163"/>
    </row>
    <row r="2" spans="1:2" ht="15.75" x14ac:dyDescent="0.25">
      <c r="A2" s="165" t="s">
        <v>40</v>
      </c>
      <c r="B2" s="166">
        <v>1</v>
      </c>
    </row>
    <row r="3" spans="1:2" ht="15.75" x14ac:dyDescent="0.25">
      <c r="A3" s="165" t="s">
        <v>58</v>
      </c>
      <c r="B3" s="166">
        <v>2</v>
      </c>
    </row>
    <row r="4" spans="1:2" ht="15.75" x14ac:dyDescent="0.25">
      <c r="A4" s="165" t="s">
        <v>71</v>
      </c>
      <c r="B4" s="166">
        <v>3</v>
      </c>
    </row>
    <row r="5" spans="1:2" ht="15.75" x14ac:dyDescent="0.25">
      <c r="A5" s="165" t="s">
        <v>84</v>
      </c>
      <c r="B5" s="166">
        <v>4</v>
      </c>
    </row>
    <row r="6" spans="1:2" ht="15.75" x14ac:dyDescent="0.25">
      <c r="A6" s="165" t="s">
        <v>89</v>
      </c>
      <c r="B6" s="166">
        <v>5</v>
      </c>
    </row>
    <row r="7" spans="1:2" ht="15.75" x14ac:dyDescent="0.25">
      <c r="A7" s="165" t="s">
        <v>94</v>
      </c>
      <c r="B7" s="166">
        <v>6</v>
      </c>
    </row>
    <row r="8" spans="1:2" ht="15.75" x14ac:dyDescent="0.25">
      <c r="A8" s="165" t="s">
        <v>96</v>
      </c>
      <c r="B8" s="166">
        <v>7</v>
      </c>
    </row>
    <row r="9" spans="1:2" ht="15.75" x14ac:dyDescent="0.25">
      <c r="A9" s="165" t="s">
        <v>102</v>
      </c>
      <c r="B9" s="166">
        <v>8</v>
      </c>
    </row>
    <row r="10" spans="1:2" ht="15.75" x14ac:dyDescent="0.25">
      <c r="A10" s="165" t="s">
        <v>104</v>
      </c>
      <c r="B10" s="166">
        <v>9</v>
      </c>
    </row>
    <row r="11" spans="1:2" ht="15.75" x14ac:dyDescent="0.25">
      <c r="A11" s="165" t="s">
        <v>109</v>
      </c>
      <c r="B11" s="166">
        <v>10</v>
      </c>
    </row>
    <row r="12" spans="1:2" ht="15.75" x14ac:dyDescent="0.25">
      <c r="A12" s="165" t="s">
        <v>115</v>
      </c>
      <c r="B12" s="166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92405-4D50-455A-86DA-9799F216BA30}">
  <sheetPr codeName="Hoja5"/>
  <dimension ref="A1:N22"/>
  <sheetViews>
    <sheetView zoomScale="90" zoomScaleNormal="90" workbookViewId="0">
      <selection activeCell="F33" sqref="F33"/>
    </sheetView>
  </sheetViews>
  <sheetFormatPr baseColWidth="10" defaultColWidth="11.42578125" defaultRowHeight="15" x14ac:dyDescent="0.25"/>
  <sheetData>
    <row r="1" spans="1:14" x14ac:dyDescent="0.25">
      <c r="A1" s="160" t="s">
        <v>25</v>
      </c>
      <c r="B1" s="160" t="s">
        <v>156</v>
      </c>
      <c r="C1" s="160" t="s">
        <v>117</v>
      </c>
      <c r="D1" s="160" t="s">
        <v>118</v>
      </c>
      <c r="E1" s="160" t="s">
        <v>119</v>
      </c>
      <c r="F1" s="160" t="s">
        <v>120</v>
      </c>
      <c r="G1" s="160" t="s">
        <v>121</v>
      </c>
      <c r="H1" s="160" t="s">
        <v>122</v>
      </c>
      <c r="I1" s="160" t="s">
        <v>123</v>
      </c>
      <c r="J1" s="160" t="s">
        <v>124</v>
      </c>
      <c r="K1" s="160" t="s">
        <v>125</v>
      </c>
      <c r="L1" s="160" t="s">
        <v>126</v>
      </c>
      <c r="M1" s="160" t="s">
        <v>127</v>
      </c>
      <c r="N1" s="160" t="s">
        <v>128</v>
      </c>
    </row>
    <row r="2" spans="1:14" x14ac:dyDescent="0.25">
      <c r="A2" t="s">
        <v>53</v>
      </c>
      <c r="B2">
        <v>11</v>
      </c>
      <c r="C2">
        <v>5</v>
      </c>
      <c r="D2">
        <v>0</v>
      </c>
      <c r="E2">
        <v>0</v>
      </c>
      <c r="F2">
        <v>0</v>
      </c>
      <c r="G2">
        <v>0</v>
      </c>
      <c r="H2">
        <v>6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25">
      <c r="A3" t="s">
        <v>48</v>
      </c>
      <c r="B3">
        <v>10</v>
      </c>
      <c r="C3">
        <v>0</v>
      </c>
      <c r="D3">
        <v>5</v>
      </c>
      <c r="E3">
        <v>0</v>
      </c>
      <c r="F3">
        <v>0</v>
      </c>
      <c r="G3">
        <v>0</v>
      </c>
      <c r="H3">
        <v>0</v>
      </c>
      <c r="I3">
        <v>0</v>
      </c>
      <c r="J3">
        <v>5</v>
      </c>
      <c r="K3">
        <v>0</v>
      </c>
      <c r="L3">
        <v>0</v>
      </c>
      <c r="M3">
        <v>0</v>
      </c>
      <c r="N3">
        <v>0</v>
      </c>
    </row>
    <row r="4" spans="1:14" x14ac:dyDescent="0.25">
      <c r="A4" t="s">
        <v>62</v>
      </c>
      <c r="B4">
        <v>10</v>
      </c>
      <c r="C4">
        <v>0</v>
      </c>
      <c r="D4">
        <v>5</v>
      </c>
      <c r="E4">
        <v>0</v>
      </c>
      <c r="F4">
        <v>0</v>
      </c>
      <c r="G4">
        <v>0</v>
      </c>
      <c r="H4">
        <v>5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 t="s">
        <v>66</v>
      </c>
      <c r="B5">
        <v>10</v>
      </c>
      <c r="C5">
        <v>0</v>
      </c>
      <c r="D5">
        <v>5</v>
      </c>
      <c r="E5">
        <v>0</v>
      </c>
      <c r="F5">
        <v>0</v>
      </c>
      <c r="G5">
        <v>0</v>
      </c>
      <c r="H5">
        <v>2</v>
      </c>
      <c r="I5">
        <v>3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 t="s">
        <v>76</v>
      </c>
      <c r="B6">
        <v>10</v>
      </c>
      <c r="C6">
        <v>0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5</v>
      </c>
      <c r="K6">
        <v>0</v>
      </c>
      <c r="L6">
        <v>0</v>
      </c>
      <c r="M6">
        <v>0</v>
      </c>
      <c r="N6">
        <v>0</v>
      </c>
    </row>
    <row r="7" spans="1:14" x14ac:dyDescent="0.25">
      <c r="A7" t="s">
        <v>41</v>
      </c>
      <c r="B7">
        <v>10</v>
      </c>
      <c r="C7">
        <v>0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>
        <v>0</v>
      </c>
      <c r="K7">
        <v>5</v>
      </c>
      <c r="L7">
        <v>0</v>
      </c>
      <c r="M7">
        <v>0</v>
      </c>
      <c r="N7">
        <v>0</v>
      </c>
    </row>
    <row r="8" spans="1:14" x14ac:dyDescent="0.25">
      <c r="A8" t="s">
        <v>51</v>
      </c>
      <c r="B8">
        <v>9</v>
      </c>
      <c r="C8">
        <v>0</v>
      </c>
      <c r="D8">
        <v>0</v>
      </c>
      <c r="E8">
        <v>9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 t="s">
        <v>69</v>
      </c>
      <c r="B9">
        <v>10</v>
      </c>
      <c r="C9">
        <v>0</v>
      </c>
      <c r="D9">
        <v>0</v>
      </c>
      <c r="E9">
        <v>5</v>
      </c>
      <c r="F9">
        <v>0</v>
      </c>
      <c r="G9">
        <v>0</v>
      </c>
      <c r="H9">
        <v>0</v>
      </c>
      <c r="I9">
        <v>0</v>
      </c>
      <c r="J9">
        <v>0</v>
      </c>
      <c r="K9">
        <v>3</v>
      </c>
      <c r="L9">
        <v>2</v>
      </c>
      <c r="M9">
        <v>0</v>
      </c>
      <c r="N9">
        <v>0</v>
      </c>
    </row>
    <row r="10" spans="1:14" x14ac:dyDescent="0.25">
      <c r="A10" t="s">
        <v>72</v>
      </c>
      <c r="B10">
        <v>11</v>
      </c>
      <c r="C10">
        <v>0</v>
      </c>
      <c r="D10">
        <v>0</v>
      </c>
      <c r="E10">
        <v>6</v>
      </c>
      <c r="F10">
        <v>0</v>
      </c>
      <c r="G10">
        <v>0</v>
      </c>
      <c r="H10">
        <v>0</v>
      </c>
      <c r="I10">
        <v>5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 t="s">
        <v>46</v>
      </c>
      <c r="B11">
        <v>10</v>
      </c>
      <c r="C11">
        <v>0</v>
      </c>
      <c r="D11">
        <v>0</v>
      </c>
      <c r="E11">
        <v>0</v>
      </c>
      <c r="F11">
        <v>5</v>
      </c>
      <c r="G11">
        <v>0</v>
      </c>
      <c r="H11">
        <v>0</v>
      </c>
      <c r="I11">
        <v>0</v>
      </c>
      <c r="J11">
        <v>0</v>
      </c>
      <c r="K11">
        <v>0</v>
      </c>
      <c r="L11">
        <v>5</v>
      </c>
      <c r="M11">
        <v>0</v>
      </c>
      <c r="N11">
        <v>0</v>
      </c>
    </row>
    <row r="12" spans="1:14" x14ac:dyDescent="0.25">
      <c r="A12" t="s">
        <v>54</v>
      </c>
      <c r="B12">
        <v>10</v>
      </c>
      <c r="C12">
        <v>0</v>
      </c>
      <c r="D12">
        <v>0</v>
      </c>
      <c r="E12">
        <v>0</v>
      </c>
      <c r="F12">
        <v>5</v>
      </c>
      <c r="G12">
        <v>0</v>
      </c>
      <c r="H12">
        <v>0</v>
      </c>
      <c r="I12">
        <v>0</v>
      </c>
      <c r="J12">
        <v>0</v>
      </c>
      <c r="K12">
        <v>0</v>
      </c>
      <c r="L12">
        <v>5</v>
      </c>
      <c r="M12">
        <v>0</v>
      </c>
      <c r="N12">
        <v>0</v>
      </c>
    </row>
    <row r="13" spans="1:14" x14ac:dyDescent="0.25">
      <c r="A13" t="s">
        <v>59</v>
      </c>
      <c r="B13">
        <v>10</v>
      </c>
      <c r="C13">
        <v>0</v>
      </c>
      <c r="D13">
        <v>0</v>
      </c>
      <c r="E13">
        <v>0</v>
      </c>
      <c r="F13">
        <v>5</v>
      </c>
      <c r="G13">
        <v>0</v>
      </c>
      <c r="H13">
        <v>0</v>
      </c>
      <c r="I13">
        <v>0</v>
      </c>
      <c r="J13">
        <v>5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t="s">
        <v>65</v>
      </c>
      <c r="B14">
        <v>10</v>
      </c>
      <c r="C14">
        <v>0</v>
      </c>
      <c r="D14">
        <v>0</v>
      </c>
      <c r="E14">
        <v>0</v>
      </c>
      <c r="F14">
        <v>4</v>
      </c>
      <c r="G14">
        <v>1</v>
      </c>
      <c r="H14">
        <v>0</v>
      </c>
      <c r="I14">
        <v>0</v>
      </c>
      <c r="J14">
        <v>5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t="s">
        <v>80</v>
      </c>
      <c r="B15">
        <v>10</v>
      </c>
      <c r="C15">
        <v>0</v>
      </c>
      <c r="D15">
        <v>0</v>
      </c>
      <c r="E15">
        <v>0</v>
      </c>
      <c r="F15">
        <v>5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</row>
    <row r="16" spans="1:14" x14ac:dyDescent="0.25">
      <c r="A16" t="s">
        <v>85</v>
      </c>
      <c r="B16">
        <v>5</v>
      </c>
      <c r="C16">
        <v>0</v>
      </c>
      <c r="D16">
        <v>0</v>
      </c>
      <c r="E16">
        <v>0</v>
      </c>
      <c r="F16">
        <v>5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 t="s">
        <v>52</v>
      </c>
      <c r="B17">
        <v>10</v>
      </c>
      <c r="C17">
        <v>0</v>
      </c>
      <c r="D17">
        <v>0</v>
      </c>
      <c r="E17">
        <v>0</v>
      </c>
      <c r="F17">
        <v>0</v>
      </c>
      <c r="G17">
        <v>5</v>
      </c>
      <c r="H17">
        <v>0</v>
      </c>
      <c r="I17">
        <v>0</v>
      </c>
      <c r="J17">
        <v>0</v>
      </c>
      <c r="K17">
        <v>0</v>
      </c>
      <c r="L17">
        <v>0</v>
      </c>
      <c r="M17">
        <v>5</v>
      </c>
      <c r="N17">
        <v>0</v>
      </c>
    </row>
    <row r="18" spans="1:14" x14ac:dyDescent="0.25">
      <c r="A18" t="s">
        <v>57</v>
      </c>
      <c r="B18">
        <v>10</v>
      </c>
      <c r="C18">
        <v>0</v>
      </c>
      <c r="D18">
        <v>0</v>
      </c>
      <c r="E18">
        <v>0</v>
      </c>
      <c r="F18">
        <v>0</v>
      </c>
      <c r="G18">
        <v>5</v>
      </c>
      <c r="H18">
        <v>0</v>
      </c>
      <c r="I18">
        <v>0</v>
      </c>
      <c r="J18">
        <v>0</v>
      </c>
      <c r="K18">
        <v>0</v>
      </c>
      <c r="L18">
        <v>0</v>
      </c>
      <c r="M18">
        <v>5</v>
      </c>
      <c r="N18">
        <v>0</v>
      </c>
    </row>
    <row r="19" spans="1:14" x14ac:dyDescent="0.25">
      <c r="A19" t="s">
        <v>45</v>
      </c>
      <c r="B19">
        <v>10</v>
      </c>
      <c r="C19">
        <v>0</v>
      </c>
      <c r="D19">
        <v>0</v>
      </c>
      <c r="E19">
        <v>0</v>
      </c>
      <c r="F19">
        <v>0</v>
      </c>
      <c r="G19">
        <v>0</v>
      </c>
      <c r="H19">
        <v>5</v>
      </c>
      <c r="I19">
        <v>0</v>
      </c>
      <c r="J19">
        <v>0</v>
      </c>
      <c r="K19">
        <v>5</v>
      </c>
      <c r="L19">
        <v>0</v>
      </c>
      <c r="M19">
        <v>0</v>
      </c>
      <c r="N19">
        <v>0</v>
      </c>
    </row>
    <row r="20" spans="1:14" x14ac:dyDescent="0.25">
      <c r="A20" t="s">
        <v>103</v>
      </c>
      <c r="B20">
        <v>42</v>
      </c>
      <c r="C20">
        <v>0</v>
      </c>
      <c r="D20">
        <v>0</v>
      </c>
      <c r="E20">
        <v>0</v>
      </c>
      <c r="F20">
        <v>0</v>
      </c>
      <c r="G20">
        <v>0</v>
      </c>
      <c r="H20">
        <v>5</v>
      </c>
      <c r="I20">
        <v>31</v>
      </c>
      <c r="J20">
        <v>5</v>
      </c>
      <c r="K20">
        <v>1</v>
      </c>
      <c r="L20">
        <v>0</v>
      </c>
      <c r="M20">
        <v>0</v>
      </c>
      <c r="N20">
        <v>0</v>
      </c>
    </row>
    <row r="21" spans="1:14" x14ac:dyDescent="0.25">
      <c r="A21" t="s">
        <v>44</v>
      </c>
      <c r="B21">
        <v>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8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t="s">
        <v>70</v>
      </c>
      <c r="B22">
        <v>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5</v>
      </c>
      <c r="J22">
        <v>0</v>
      </c>
      <c r="K22">
        <v>0</v>
      </c>
      <c r="L22">
        <v>0</v>
      </c>
      <c r="M22">
        <v>0</v>
      </c>
      <c r="N22">
        <v>0</v>
      </c>
    </row>
  </sheetData>
  <conditionalFormatting sqref="B2:B22">
    <cfRule type="cellIs" dxfId="1" priority="1" stopIfTrue="1" operator="greaterThan">
      <formula>10</formula>
    </cfRule>
    <cfRule type="cellIs" dxfId="0" priority="2" stopIfTrue="1" operator="lessThanOrEqual">
      <formula>10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02166-F354-4FAB-A553-0E4A848F3B3B}">
  <sheetPr codeName="Hoja4"/>
  <dimension ref="A1:BH26"/>
  <sheetViews>
    <sheetView workbookViewId="0">
      <selection activeCell="AV17" sqref="AV17"/>
    </sheetView>
  </sheetViews>
  <sheetFormatPr baseColWidth="10" defaultColWidth="11.42578125" defaultRowHeight="15" x14ac:dyDescent="0.25"/>
  <cols>
    <col min="1" max="1" width="21.7109375" bestFit="1" customWidth="1"/>
    <col min="2" max="2" width="18.140625" bestFit="1" customWidth="1"/>
    <col min="3" max="3" width="3.42578125" bestFit="1" customWidth="1"/>
    <col min="4" max="4" width="3.85546875" bestFit="1" customWidth="1"/>
    <col min="5" max="5" width="7.28515625" bestFit="1" customWidth="1"/>
    <col min="6" max="6" width="21.7109375" bestFit="1" customWidth="1"/>
    <col min="7" max="7" width="10.5703125" bestFit="1" customWidth="1"/>
    <col min="8" max="8" width="3.42578125" bestFit="1" customWidth="1"/>
    <col min="9" max="9" width="3.85546875" bestFit="1" customWidth="1"/>
    <col min="10" max="10" width="7.28515625" bestFit="1" customWidth="1"/>
    <col min="11" max="11" width="21.7109375" bestFit="1" customWidth="1"/>
    <col min="12" max="12" width="10.42578125" bestFit="1" customWidth="1"/>
    <col min="13" max="13" width="3.42578125" bestFit="1" customWidth="1"/>
    <col min="14" max="14" width="3.85546875" bestFit="1" customWidth="1"/>
    <col min="15" max="15" width="7.28515625" bestFit="1" customWidth="1"/>
    <col min="16" max="16" width="21.7109375" bestFit="1" customWidth="1"/>
    <col min="17" max="17" width="10.5703125" bestFit="1" customWidth="1"/>
    <col min="18" max="18" width="3.42578125" bestFit="1" customWidth="1"/>
    <col min="19" max="19" width="3.85546875" bestFit="1" customWidth="1"/>
    <col min="20" max="20" width="7.28515625" bestFit="1" customWidth="1"/>
    <col min="21" max="21" width="21.7109375" bestFit="1" customWidth="1"/>
    <col min="22" max="22" width="10.5703125" bestFit="1" customWidth="1"/>
    <col min="23" max="23" width="3.42578125" bestFit="1" customWidth="1"/>
    <col min="24" max="24" width="3.85546875" bestFit="1" customWidth="1"/>
    <col min="25" max="25" width="7.28515625" bestFit="1" customWidth="1"/>
    <col min="26" max="26" width="21.7109375" bestFit="1" customWidth="1"/>
    <col min="27" max="27" width="10.5703125" bestFit="1" customWidth="1"/>
    <col min="28" max="28" width="3.42578125" bestFit="1" customWidth="1"/>
    <col min="29" max="29" width="3.85546875" bestFit="1" customWidth="1"/>
    <col min="30" max="30" width="7.28515625" bestFit="1" customWidth="1"/>
    <col min="31" max="31" width="21.7109375" bestFit="1" customWidth="1"/>
    <col min="32" max="32" width="10.42578125" bestFit="1" customWidth="1"/>
    <col min="33" max="33" width="3.42578125" bestFit="1" customWidth="1"/>
    <col min="34" max="34" width="3.85546875" bestFit="1" customWidth="1"/>
    <col min="35" max="35" width="7.28515625" bestFit="1" customWidth="1"/>
    <col min="36" max="36" width="21.7109375" bestFit="1" customWidth="1"/>
    <col min="37" max="37" width="10.5703125" bestFit="1" customWidth="1"/>
    <col min="38" max="38" width="3.42578125" bestFit="1" customWidth="1"/>
    <col min="39" max="39" width="3.85546875" bestFit="1" customWidth="1"/>
    <col min="40" max="40" width="7.28515625" bestFit="1" customWidth="1"/>
    <col min="41" max="41" width="21.7109375" bestFit="1" customWidth="1"/>
    <col min="42" max="42" width="10.42578125" bestFit="1" customWidth="1"/>
    <col min="43" max="43" width="3.42578125" bestFit="1" customWidth="1"/>
    <col min="44" max="44" width="3.85546875" bestFit="1" customWidth="1"/>
    <col min="45" max="45" width="7.28515625" bestFit="1" customWidth="1"/>
    <col min="46" max="46" width="21.7109375" bestFit="1" customWidth="1"/>
    <col min="47" max="47" width="10.42578125" bestFit="1" customWidth="1"/>
    <col min="48" max="48" width="3.42578125" bestFit="1" customWidth="1"/>
    <col min="49" max="49" width="3.85546875" bestFit="1" customWidth="1"/>
    <col min="50" max="50" width="7.28515625" bestFit="1" customWidth="1"/>
    <col min="51" max="51" width="21.7109375" bestFit="1" customWidth="1"/>
    <col min="52" max="52" width="7.140625" bestFit="1" customWidth="1"/>
    <col min="53" max="53" width="3.42578125" bestFit="1" customWidth="1"/>
    <col min="54" max="54" width="3.85546875" bestFit="1" customWidth="1"/>
    <col min="55" max="55" width="7.28515625" bestFit="1" customWidth="1"/>
    <col min="56" max="56" width="6.28515625" bestFit="1" customWidth="1"/>
    <col min="57" max="57" width="5.42578125" bestFit="1" customWidth="1"/>
    <col min="58" max="58" width="3.42578125" bestFit="1" customWidth="1"/>
    <col min="59" max="59" width="3.85546875" bestFit="1" customWidth="1"/>
    <col min="60" max="60" width="7.28515625" bestFit="1" customWidth="1"/>
  </cols>
  <sheetData>
    <row r="1" spans="1:60" ht="15.75" x14ac:dyDescent="0.25">
      <c r="A1" s="286" t="s">
        <v>117</v>
      </c>
      <c r="B1" s="286"/>
      <c r="C1" s="286"/>
      <c r="D1" s="286"/>
      <c r="E1" s="286"/>
      <c r="F1" s="286" t="s">
        <v>118</v>
      </c>
      <c r="G1" s="286"/>
      <c r="H1" s="286"/>
      <c r="I1" s="286"/>
      <c r="J1" s="286"/>
      <c r="K1" s="286" t="s">
        <v>119</v>
      </c>
      <c r="L1" s="286"/>
      <c r="M1" s="286"/>
      <c r="N1" s="286"/>
      <c r="O1" s="286"/>
      <c r="P1" s="286" t="s">
        <v>120</v>
      </c>
      <c r="Q1" s="286"/>
      <c r="R1" s="286"/>
      <c r="S1" s="286"/>
      <c r="T1" s="286"/>
      <c r="U1" s="286" t="s">
        <v>121</v>
      </c>
      <c r="V1" s="286"/>
      <c r="W1" s="286"/>
      <c r="X1" s="286"/>
      <c r="Y1" s="286"/>
      <c r="Z1" s="286" t="s">
        <v>122</v>
      </c>
      <c r="AA1" s="286"/>
      <c r="AB1" s="286"/>
      <c r="AC1" s="286"/>
      <c r="AD1" s="286"/>
      <c r="AE1" s="286" t="s">
        <v>123</v>
      </c>
      <c r="AF1" s="286"/>
      <c r="AG1" s="286"/>
      <c r="AH1" s="286"/>
      <c r="AI1" s="286"/>
      <c r="AJ1" s="286" t="s">
        <v>124</v>
      </c>
      <c r="AK1" s="286"/>
      <c r="AL1" s="286"/>
      <c r="AM1" s="286"/>
      <c r="AN1" s="286"/>
      <c r="AO1" s="286" t="s">
        <v>125</v>
      </c>
      <c r="AP1" s="286"/>
      <c r="AQ1" s="286"/>
      <c r="AR1" s="286"/>
      <c r="AS1" s="286"/>
      <c r="AT1" s="286" t="s">
        <v>126</v>
      </c>
      <c r="AU1" s="286"/>
      <c r="AV1" s="286"/>
      <c r="AW1" s="286"/>
      <c r="AX1" s="286"/>
      <c r="AY1" s="286" t="s">
        <v>127</v>
      </c>
      <c r="AZ1" s="286"/>
      <c r="BA1" s="286"/>
      <c r="BB1" s="286"/>
      <c r="BC1" s="286"/>
      <c r="BD1" s="286" t="s">
        <v>128</v>
      </c>
      <c r="BE1" s="286"/>
      <c r="BF1" s="286"/>
      <c r="BG1" s="286"/>
      <c r="BH1" s="286"/>
    </row>
    <row r="2" spans="1:60" x14ac:dyDescent="0.25">
      <c r="A2" t="s">
        <v>24</v>
      </c>
      <c r="B2" t="s">
        <v>25</v>
      </c>
      <c r="C2" t="s">
        <v>26</v>
      </c>
      <c r="D2" t="s">
        <v>27</v>
      </c>
      <c r="E2" t="s">
        <v>157</v>
      </c>
      <c r="F2" t="s">
        <v>24</v>
      </c>
      <c r="G2" t="s">
        <v>25</v>
      </c>
      <c r="H2" t="s">
        <v>26</v>
      </c>
      <c r="I2" t="s">
        <v>27</v>
      </c>
      <c r="J2" t="s">
        <v>157</v>
      </c>
      <c r="K2" t="s">
        <v>24</v>
      </c>
      <c r="L2" t="s">
        <v>25</v>
      </c>
      <c r="M2" t="s">
        <v>26</v>
      </c>
      <c r="N2" t="s">
        <v>27</v>
      </c>
      <c r="O2" t="s">
        <v>157</v>
      </c>
      <c r="P2" t="s">
        <v>24</v>
      </c>
      <c r="Q2" t="s">
        <v>25</v>
      </c>
      <c r="R2" t="s">
        <v>26</v>
      </c>
      <c r="S2" t="s">
        <v>27</v>
      </c>
      <c r="T2" t="s">
        <v>157</v>
      </c>
      <c r="U2" t="s">
        <v>24</v>
      </c>
      <c r="V2" t="s">
        <v>25</v>
      </c>
      <c r="W2" t="s">
        <v>26</v>
      </c>
      <c r="X2" t="s">
        <v>27</v>
      </c>
      <c r="Y2" t="s">
        <v>157</v>
      </c>
      <c r="Z2" t="s">
        <v>24</v>
      </c>
      <c r="AA2" t="s">
        <v>25</v>
      </c>
      <c r="AB2" t="s">
        <v>26</v>
      </c>
      <c r="AC2" t="s">
        <v>27</v>
      </c>
      <c r="AD2" t="s">
        <v>157</v>
      </c>
      <c r="AE2" t="s">
        <v>24</v>
      </c>
      <c r="AF2" t="s">
        <v>25</v>
      </c>
      <c r="AG2" t="s">
        <v>26</v>
      </c>
      <c r="AH2" t="s">
        <v>27</v>
      </c>
      <c r="AI2" t="s">
        <v>157</v>
      </c>
      <c r="AJ2" t="s">
        <v>24</v>
      </c>
      <c r="AK2" t="s">
        <v>25</v>
      </c>
      <c r="AL2" t="s">
        <v>26</v>
      </c>
      <c r="AM2" t="s">
        <v>27</v>
      </c>
      <c r="AN2" t="s">
        <v>157</v>
      </c>
      <c r="AO2" t="s">
        <v>24</v>
      </c>
      <c r="AP2" t="s">
        <v>25</v>
      </c>
      <c r="AQ2" t="s">
        <v>26</v>
      </c>
      <c r="AR2" t="s">
        <v>27</v>
      </c>
      <c r="AS2" t="s">
        <v>157</v>
      </c>
      <c r="AT2" t="s">
        <v>24</v>
      </c>
      <c r="AU2" t="s">
        <v>25</v>
      </c>
      <c r="AV2" t="s">
        <v>26</v>
      </c>
      <c r="AW2" t="s">
        <v>27</v>
      </c>
      <c r="AX2" t="s">
        <v>157</v>
      </c>
      <c r="AY2" t="s">
        <v>24</v>
      </c>
      <c r="AZ2" t="s">
        <v>25</v>
      </c>
      <c r="BA2" t="s">
        <v>26</v>
      </c>
      <c r="BB2" t="s">
        <v>27</v>
      </c>
      <c r="BC2" t="s">
        <v>157</v>
      </c>
      <c r="BD2" t="s">
        <v>24</v>
      </c>
      <c r="BE2" t="s">
        <v>25</v>
      </c>
      <c r="BF2" t="s">
        <v>26</v>
      </c>
      <c r="BG2" t="s">
        <v>27</v>
      </c>
      <c r="BH2" t="s">
        <v>157</v>
      </c>
    </row>
    <row r="3" spans="1:60" x14ac:dyDescent="0.25">
      <c r="A3" s="158" t="s">
        <v>40</v>
      </c>
      <c r="B3" s="158" t="s">
        <v>53</v>
      </c>
      <c r="C3" s="158">
        <v>19</v>
      </c>
      <c r="D3" s="158">
        <v>23</v>
      </c>
      <c r="E3" s="158">
        <v>5</v>
      </c>
      <c r="F3" s="158" t="s">
        <v>58</v>
      </c>
      <c r="G3" s="158" t="s">
        <v>62</v>
      </c>
      <c r="H3" s="158">
        <v>8</v>
      </c>
      <c r="I3" s="158">
        <v>12</v>
      </c>
      <c r="J3" s="158">
        <v>5</v>
      </c>
      <c r="K3" s="158" t="s">
        <v>40</v>
      </c>
      <c r="L3" s="158" t="s">
        <v>51</v>
      </c>
      <c r="M3" s="158">
        <v>2</v>
      </c>
      <c r="N3" s="158">
        <v>10</v>
      </c>
      <c r="O3" s="158">
        <v>9</v>
      </c>
      <c r="P3" s="158" t="s">
        <v>40</v>
      </c>
      <c r="Q3" s="158" t="s">
        <v>54</v>
      </c>
      <c r="R3" s="158">
        <v>13</v>
      </c>
      <c r="S3" s="158">
        <v>17</v>
      </c>
      <c r="T3" s="158">
        <v>5</v>
      </c>
      <c r="U3" s="158" t="s">
        <v>58</v>
      </c>
      <c r="V3" s="158" t="s">
        <v>65</v>
      </c>
      <c r="W3" s="158">
        <v>1</v>
      </c>
      <c r="X3" s="158">
        <v>1</v>
      </c>
      <c r="Y3" s="158">
        <v>1</v>
      </c>
      <c r="Z3" s="158" t="s">
        <v>58</v>
      </c>
      <c r="AA3" s="158" t="s">
        <v>62</v>
      </c>
      <c r="AB3" s="158">
        <v>15</v>
      </c>
      <c r="AC3" s="158">
        <v>19</v>
      </c>
      <c r="AD3" s="158">
        <v>5</v>
      </c>
      <c r="AE3" s="158" t="s">
        <v>58</v>
      </c>
      <c r="AF3" s="158" t="s">
        <v>66</v>
      </c>
      <c r="AG3" s="158">
        <v>1</v>
      </c>
      <c r="AH3" s="158">
        <v>3</v>
      </c>
      <c r="AI3" s="158">
        <v>3</v>
      </c>
      <c r="AJ3" s="158" t="s">
        <v>58</v>
      </c>
      <c r="AK3" s="158" t="s">
        <v>65</v>
      </c>
      <c r="AL3" s="158">
        <v>9</v>
      </c>
      <c r="AM3" s="158">
        <v>13</v>
      </c>
      <c r="AN3" s="158">
        <v>5</v>
      </c>
      <c r="AO3" s="158" t="s">
        <v>102</v>
      </c>
      <c r="AP3" s="158" t="s">
        <v>103</v>
      </c>
      <c r="AQ3" s="158">
        <v>1</v>
      </c>
      <c r="AR3" s="158">
        <v>1</v>
      </c>
      <c r="AS3" s="158">
        <v>1</v>
      </c>
      <c r="AT3" s="158" t="s">
        <v>58</v>
      </c>
      <c r="AU3" s="158" t="s">
        <v>69</v>
      </c>
      <c r="AV3" s="158">
        <v>1</v>
      </c>
      <c r="AW3" s="158">
        <v>2</v>
      </c>
      <c r="AX3" s="158">
        <v>2</v>
      </c>
      <c r="AY3" s="158" t="s">
        <v>40</v>
      </c>
      <c r="AZ3" s="158" t="s">
        <v>57</v>
      </c>
      <c r="BA3" s="158">
        <v>9</v>
      </c>
      <c r="BB3" s="158">
        <v>13</v>
      </c>
      <c r="BC3" s="158">
        <v>5</v>
      </c>
    </row>
    <row r="4" spans="1:60" x14ac:dyDescent="0.25">
      <c r="F4" s="158" t="s">
        <v>40</v>
      </c>
      <c r="G4" s="158" t="s">
        <v>48</v>
      </c>
      <c r="H4" s="158">
        <v>16</v>
      </c>
      <c r="I4" s="158">
        <v>20</v>
      </c>
      <c r="J4" s="158">
        <v>5</v>
      </c>
      <c r="K4" s="158" t="s">
        <v>40</v>
      </c>
      <c r="L4" s="158" t="s">
        <v>41</v>
      </c>
      <c r="M4" s="158">
        <v>9</v>
      </c>
      <c r="N4" s="158">
        <v>13</v>
      </c>
      <c r="O4" s="158">
        <v>5</v>
      </c>
      <c r="P4" s="158" t="s">
        <v>58</v>
      </c>
      <c r="Q4" s="158" t="s">
        <v>59</v>
      </c>
      <c r="R4" s="158">
        <v>13</v>
      </c>
      <c r="S4" s="158">
        <v>17</v>
      </c>
      <c r="T4" s="158">
        <v>5</v>
      </c>
      <c r="U4" s="158" t="s">
        <v>40</v>
      </c>
      <c r="V4" s="158" t="s">
        <v>57</v>
      </c>
      <c r="W4" s="158">
        <v>11</v>
      </c>
      <c r="X4" s="158">
        <v>15</v>
      </c>
      <c r="Y4" s="158">
        <v>5</v>
      </c>
      <c r="Z4" s="158" t="s">
        <v>40</v>
      </c>
      <c r="AA4" s="158" t="s">
        <v>53</v>
      </c>
      <c r="AB4" s="158">
        <v>22</v>
      </c>
      <c r="AC4" s="158">
        <v>27</v>
      </c>
      <c r="AD4" s="158">
        <v>6</v>
      </c>
      <c r="AE4" s="158" t="s">
        <v>102</v>
      </c>
      <c r="AF4" s="158" t="s">
        <v>103</v>
      </c>
      <c r="AG4" s="158">
        <v>1</v>
      </c>
      <c r="AH4" s="158">
        <v>31</v>
      </c>
      <c r="AI4" s="158">
        <v>31</v>
      </c>
      <c r="AJ4" s="158" t="s">
        <v>40</v>
      </c>
      <c r="AK4" s="158" t="s">
        <v>48</v>
      </c>
      <c r="AL4" s="158">
        <v>10</v>
      </c>
      <c r="AM4" s="158">
        <v>14</v>
      </c>
      <c r="AN4" s="158">
        <v>5</v>
      </c>
      <c r="AO4" s="158" t="s">
        <v>40</v>
      </c>
      <c r="AP4" s="158" t="s">
        <v>45</v>
      </c>
      <c r="AQ4" s="158">
        <v>7</v>
      </c>
      <c r="AR4" s="158">
        <v>11</v>
      </c>
      <c r="AS4" s="158">
        <v>5</v>
      </c>
      <c r="AT4" s="158" t="s">
        <v>40</v>
      </c>
      <c r="AU4" s="158" t="s">
        <v>46</v>
      </c>
      <c r="AV4" s="158">
        <v>5</v>
      </c>
      <c r="AW4" s="158">
        <v>9</v>
      </c>
      <c r="AX4" s="158">
        <v>5</v>
      </c>
      <c r="AY4" s="158" t="s">
        <v>40</v>
      </c>
      <c r="AZ4" s="158" t="s">
        <v>52</v>
      </c>
      <c r="BA4" s="158">
        <v>24</v>
      </c>
      <c r="BB4" s="158">
        <v>28</v>
      </c>
      <c r="BC4" s="158">
        <v>5</v>
      </c>
    </row>
    <row r="5" spans="1:60" x14ac:dyDescent="0.25">
      <c r="F5" s="158" t="s">
        <v>58</v>
      </c>
      <c r="G5" s="158" t="s">
        <v>66</v>
      </c>
      <c r="H5" s="158">
        <v>22</v>
      </c>
      <c r="I5" s="158">
        <v>26</v>
      </c>
      <c r="J5" s="158">
        <v>5</v>
      </c>
      <c r="K5" s="158" t="s">
        <v>58</v>
      </c>
      <c r="L5" s="158" t="s">
        <v>69</v>
      </c>
      <c r="M5" s="158">
        <v>9</v>
      </c>
      <c r="N5" s="158">
        <v>13</v>
      </c>
      <c r="O5" s="158">
        <v>5</v>
      </c>
      <c r="P5" s="158" t="s">
        <v>84</v>
      </c>
      <c r="Q5" s="158" t="s">
        <v>85</v>
      </c>
      <c r="R5" s="158">
        <v>13</v>
      </c>
      <c r="S5" s="158">
        <v>17</v>
      </c>
      <c r="T5" s="158">
        <v>5</v>
      </c>
      <c r="U5" s="158" t="s">
        <v>40</v>
      </c>
      <c r="V5" s="158" t="s">
        <v>52</v>
      </c>
      <c r="W5" s="158">
        <v>25</v>
      </c>
      <c r="X5" s="158">
        <v>29</v>
      </c>
      <c r="Y5" s="158">
        <v>5</v>
      </c>
      <c r="Z5" s="158" t="s">
        <v>40</v>
      </c>
      <c r="AA5" s="158" t="s">
        <v>45</v>
      </c>
      <c r="AB5" s="158">
        <v>22</v>
      </c>
      <c r="AC5" s="158">
        <v>26</v>
      </c>
      <c r="AD5" s="158">
        <v>5</v>
      </c>
      <c r="AE5" s="158" t="s">
        <v>71</v>
      </c>
      <c r="AF5" s="158" t="s">
        <v>72</v>
      </c>
      <c r="AG5" s="158">
        <v>6</v>
      </c>
      <c r="AH5" s="158">
        <v>10</v>
      </c>
      <c r="AI5" s="158">
        <v>5</v>
      </c>
      <c r="AJ5" s="158" t="s">
        <v>71</v>
      </c>
      <c r="AK5" s="158" t="s">
        <v>76</v>
      </c>
      <c r="AL5" s="158">
        <v>10</v>
      </c>
      <c r="AM5" s="158">
        <v>14</v>
      </c>
      <c r="AN5" s="158">
        <v>5</v>
      </c>
      <c r="AO5" s="158" t="s">
        <v>71</v>
      </c>
      <c r="AP5" s="158" t="s">
        <v>80</v>
      </c>
      <c r="AQ5" s="158">
        <v>14</v>
      </c>
      <c r="AR5" s="158">
        <v>18</v>
      </c>
      <c r="AS5" s="158">
        <v>5</v>
      </c>
      <c r="AT5" s="158" t="s">
        <v>40</v>
      </c>
      <c r="AU5" s="158" t="s">
        <v>54</v>
      </c>
      <c r="AV5" s="158">
        <v>19</v>
      </c>
      <c r="AW5" s="158">
        <v>23</v>
      </c>
      <c r="AX5" s="158">
        <v>5</v>
      </c>
    </row>
    <row r="6" spans="1:60" x14ac:dyDescent="0.25">
      <c r="F6" s="158" t="s">
        <v>71</v>
      </c>
      <c r="G6" s="158" t="s">
        <v>76</v>
      </c>
      <c r="H6" s="158">
        <v>23</v>
      </c>
      <c r="I6" s="158">
        <v>27</v>
      </c>
      <c r="J6" s="158">
        <v>5</v>
      </c>
      <c r="K6" s="158" t="s">
        <v>71</v>
      </c>
      <c r="L6" s="158" t="s">
        <v>72</v>
      </c>
      <c r="M6" s="158">
        <v>16</v>
      </c>
      <c r="N6" s="158">
        <v>21</v>
      </c>
      <c r="O6" s="158">
        <v>6</v>
      </c>
      <c r="P6" s="158" t="s">
        <v>71</v>
      </c>
      <c r="Q6" s="158" t="s">
        <v>80</v>
      </c>
      <c r="R6" s="158">
        <v>20</v>
      </c>
      <c r="S6" s="158">
        <v>24</v>
      </c>
      <c r="T6" s="158">
        <v>5</v>
      </c>
      <c r="Z6" s="158" t="s">
        <v>102</v>
      </c>
      <c r="AA6" s="158" t="s">
        <v>103</v>
      </c>
      <c r="AB6" s="158">
        <v>26</v>
      </c>
      <c r="AC6" s="158">
        <v>30</v>
      </c>
      <c r="AD6" s="158">
        <v>5</v>
      </c>
      <c r="AE6" s="158" t="s">
        <v>40</v>
      </c>
      <c r="AF6" s="158" t="s">
        <v>44</v>
      </c>
      <c r="AG6" s="158">
        <v>6</v>
      </c>
      <c r="AH6" s="158">
        <v>13</v>
      </c>
      <c r="AI6" s="158">
        <v>8</v>
      </c>
      <c r="AJ6" s="158" t="s">
        <v>58</v>
      </c>
      <c r="AK6" s="158" t="s">
        <v>59</v>
      </c>
      <c r="AL6" s="158">
        <v>24</v>
      </c>
      <c r="AM6" s="158">
        <v>28</v>
      </c>
      <c r="AN6" s="158">
        <v>5</v>
      </c>
      <c r="AO6" s="158" t="s">
        <v>40</v>
      </c>
      <c r="AP6" s="158" t="s">
        <v>41</v>
      </c>
      <c r="AQ6" s="158">
        <v>21</v>
      </c>
      <c r="AR6" s="158">
        <v>25</v>
      </c>
      <c r="AS6" s="158">
        <v>5</v>
      </c>
    </row>
    <row r="7" spans="1:60" x14ac:dyDescent="0.25">
      <c r="P7" s="158" t="s">
        <v>40</v>
      </c>
      <c r="Q7" s="158" t="s">
        <v>46</v>
      </c>
      <c r="R7" s="158">
        <v>20</v>
      </c>
      <c r="S7" s="158">
        <v>24</v>
      </c>
      <c r="T7" s="158">
        <v>5</v>
      </c>
      <c r="Z7" s="158" t="s">
        <v>58</v>
      </c>
      <c r="AA7" s="158" t="s">
        <v>66</v>
      </c>
      <c r="AB7" s="158">
        <v>29</v>
      </c>
      <c r="AC7" s="158">
        <v>30</v>
      </c>
      <c r="AD7" s="158">
        <v>2</v>
      </c>
      <c r="AE7" s="159" t="s">
        <v>58</v>
      </c>
      <c r="AF7" s="159" t="s">
        <v>70</v>
      </c>
      <c r="AG7" s="159">
        <v>27</v>
      </c>
      <c r="AH7" s="159">
        <v>31</v>
      </c>
      <c r="AI7" s="159">
        <v>5</v>
      </c>
      <c r="AJ7" s="158" t="s">
        <v>102</v>
      </c>
      <c r="AK7" s="158" t="s">
        <v>103</v>
      </c>
      <c r="AL7" s="158">
        <v>27</v>
      </c>
      <c r="AM7" s="158">
        <v>31</v>
      </c>
      <c r="AN7" s="158">
        <v>5</v>
      </c>
      <c r="AO7" s="158" t="s">
        <v>58</v>
      </c>
      <c r="AP7" s="158" t="s">
        <v>69</v>
      </c>
      <c r="AQ7" s="158">
        <v>28</v>
      </c>
      <c r="AR7" s="158">
        <v>30</v>
      </c>
      <c r="AS7" s="158">
        <v>3</v>
      </c>
    </row>
    <row r="8" spans="1:60" x14ac:dyDescent="0.25">
      <c r="P8" s="158" t="s">
        <v>58</v>
      </c>
      <c r="Q8" s="158" t="s">
        <v>65</v>
      </c>
      <c r="R8" s="158">
        <v>27</v>
      </c>
      <c r="S8" s="158">
        <v>30</v>
      </c>
      <c r="T8" s="158">
        <v>4</v>
      </c>
    </row>
    <row r="23" spans="1:2" ht="15.75" x14ac:dyDescent="0.25">
      <c r="A23" s="31" t="s">
        <v>129</v>
      </c>
      <c r="B23" s="3"/>
    </row>
    <row r="24" spans="1:2" ht="15.75" x14ac:dyDescent="0.25">
      <c r="A24" s="28"/>
      <c r="B24" s="32" t="s">
        <v>130</v>
      </c>
    </row>
    <row r="25" spans="1:2" ht="31.5" x14ac:dyDescent="0.25">
      <c r="A25" s="29"/>
      <c r="B25" s="33" t="s">
        <v>131</v>
      </c>
    </row>
    <row r="26" spans="1:2" ht="15.75" x14ac:dyDescent="0.25">
      <c r="A26" s="30"/>
      <c r="B26" s="32" t="s">
        <v>132</v>
      </c>
    </row>
  </sheetData>
  <mergeCells count="12">
    <mergeCell ref="BD1:BH1"/>
    <mergeCell ref="A1:E1"/>
    <mergeCell ref="F1:J1"/>
    <mergeCell ref="K1:O1"/>
    <mergeCell ref="P1:T1"/>
    <mergeCell ref="U1:Y1"/>
    <mergeCell ref="Z1:AD1"/>
    <mergeCell ref="AE1:AI1"/>
    <mergeCell ref="AJ1:AN1"/>
    <mergeCell ref="AO1:AS1"/>
    <mergeCell ref="AT1:AX1"/>
    <mergeCell ref="AY1:BC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ACD8-62F9-4968-9D05-BF9B4DBC9376}">
  <sheetPr codeName="Hoja6"/>
  <dimension ref="A1:BS28"/>
  <sheetViews>
    <sheetView topLeftCell="J1" zoomScale="110" zoomScaleNormal="110" workbookViewId="0">
      <selection activeCell="W6" sqref="W6"/>
    </sheetView>
  </sheetViews>
  <sheetFormatPr baseColWidth="10" defaultColWidth="11.42578125" defaultRowHeight="15" x14ac:dyDescent="0.25"/>
  <cols>
    <col min="1" max="1" width="22.28515625" bestFit="1" customWidth="1"/>
    <col min="2" max="2" width="20.42578125" bestFit="1" customWidth="1"/>
    <col min="3" max="3" width="17.85546875" bestFit="1" customWidth="1"/>
    <col min="4" max="4" width="16.7109375" bestFit="1" customWidth="1"/>
    <col min="5" max="5" width="26.42578125" bestFit="1" customWidth="1"/>
    <col min="6" max="6" width="30.7109375" bestFit="1" customWidth="1"/>
    <col min="7" max="7" width="11.85546875" bestFit="1" customWidth="1"/>
    <col min="8" max="8" width="15.42578125" bestFit="1" customWidth="1"/>
    <col min="9" max="9" width="20" bestFit="1" customWidth="1"/>
    <col min="10" max="10" width="18.28515625" bestFit="1" customWidth="1"/>
    <col min="12" max="12" width="11.7109375" bestFit="1" customWidth="1"/>
    <col min="13" max="13" width="8" bestFit="1" customWidth="1"/>
    <col min="14" max="14" width="6.140625" bestFit="1" customWidth="1"/>
    <col min="15" max="15" width="11" bestFit="1" customWidth="1"/>
    <col min="16" max="16" width="11.5703125" bestFit="1" customWidth="1"/>
    <col min="17" max="18" width="6.140625" bestFit="1" customWidth="1"/>
    <col min="19" max="19" width="8.140625" bestFit="1" customWidth="1"/>
    <col min="20" max="20" width="11" bestFit="1" customWidth="1"/>
    <col min="21" max="21" width="7.140625" bestFit="1" customWidth="1"/>
    <col min="22" max="22" width="11" bestFit="1" customWidth="1"/>
    <col min="23" max="23" width="13.5703125" bestFit="1" customWidth="1"/>
    <col min="24" max="24" width="10.5703125" bestFit="1" customWidth="1"/>
    <col min="25" max="25" width="14.7109375" bestFit="1" customWidth="1"/>
    <col min="26" max="27" width="10.42578125" bestFit="1" customWidth="1"/>
    <col min="28" max="28" width="11.28515625" bestFit="1" customWidth="1"/>
    <col min="29" max="29" width="12.7109375" bestFit="1" customWidth="1"/>
    <col min="30" max="30" width="11.28515625" bestFit="1" customWidth="1"/>
    <col min="31" max="32" width="11" bestFit="1" customWidth="1"/>
    <col min="33" max="33" width="6.5703125" bestFit="1" customWidth="1"/>
    <col min="34" max="35" width="6.28515625" bestFit="1" customWidth="1"/>
    <col min="36" max="36" width="14.140625" bestFit="1" customWidth="1"/>
    <col min="37" max="37" width="9.7109375" bestFit="1" customWidth="1"/>
    <col min="38" max="39" width="9.5703125" bestFit="1" customWidth="1"/>
    <col min="40" max="40" width="7.5703125" bestFit="1" customWidth="1"/>
    <col min="41" max="41" width="8.85546875" bestFit="1" customWidth="1"/>
    <col min="42" max="43" width="11" bestFit="1" customWidth="1"/>
    <col min="44" max="48" width="9.140625" bestFit="1" customWidth="1"/>
    <col min="49" max="49" width="11.140625" bestFit="1" customWidth="1"/>
    <col min="50" max="51" width="10.140625" bestFit="1" customWidth="1"/>
    <col min="52" max="54" width="13.5703125" bestFit="1" customWidth="1"/>
    <col min="55" max="57" width="13.42578125" bestFit="1" customWidth="1"/>
    <col min="58" max="58" width="13.7109375" bestFit="1" customWidth="1"/>
    <col min="59" max="59" width="12.28515625" bestFit="1" customWidth="1"/>
    <col min="60" max="60" width="14.140625" bestFit="1" customWidth="1"/>
    <col min="61" max="61" width="11.140625" bestFit="1" customWidth="1"/>
    <col min="62" max="62" width="11.7109375" bestFit="1" customWidth="1"/>
    <col min="63" max="63" width="9.5703125" bestFit="1" customWidth="1"/>
    <col min="64" max="66" width="9.28515625" bestFit="1" customWidth="1"/>
    <col min="67" max="67" width="12.7109375" bestFit="1" customWidth="1"/>
    <col min="68" max="69" width="12.5703125" bestFit="1" customWidth="1"/>
    <col min="70" max="71" width="10.5703125" bestFit="1" customWidth="1"/>
  </cols>
  <sheetData>
    <row r="1" spans="1:71" x14ac:dyDescent="0.25">
      <c r="A1" t="s">
        <v>154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  <c r="G1" t="s">
        <v>163</v>
      </c>
      <c r="H1" t="s">
        <v>164</v>
      </c>
      <c r="I1" t="s">
        <v>165</v>
      </c>
      <c r="J1" t="s">
        <v>166</v>
      </c>
      <c r="L1" t="s">
        <v>41</v>
      </c>
      <c r="M1" t="s">
        <v>44</v>
      </c>
      <c r="N1" t="s">
        <v>45</v>
      </c>
      <c r="O1" t="s">
        <v>46</v>
      </c>
      <c r="P1" t="s">
        <v>48</v>
      </c>
      <c r="Q1" t="s">
        <v>51</v>
      </c>
      <c r="R1" t="s">
        <v>52</v>
      </c>
      <c r="S1" t="s">
        <v>167</v>
      </c>
      <c r="T1" t="s">
        <v>54</v>
      </c>
      <c r="U1" t="s">
        <v>57</v>
      </c>
      <c r="V1" t="s">
        <v>59</v>
      </c>
      <c r="W1" t="s">
        <v>62</v>
      </c>
      <c r="X1" t="s">
        <v>65</v>
      </c>
      <c r="Y1" t="s">
        <v>66</v>
      </c>
      <c r="Z1" t="s">
        <v>69</v>
      </c>
      <c r="AA1" t="s">
        <v>70</v>
      </c>
      <c r="AB1" t="s">
        <v>72</v>
      </c>
      <c r="AC1" t="s">
        <v>76</v>
      </c>
      <c r="AD1" t="s">
        <v>80</v>
      </c>
      <c r="AE1" t="s">
        <v>85</v>
      </c>
      <c r="AF1" t="s">
        <v>90</v>
      </c>
      <c r="AG1" t="s">
        <v>95</v>
      </c>
      <c r="AH1" t="s">
        <v>97</v>
      </c>
      <c r="AI1" t="s">
        <v>98</v>
      </c>
      <c r="AJ1" t="s">
        <v>99</v>
      </c>
      <c r="AK1" t="s">
        <v>103</v>
      </c>
      <c r="AL1" t="s">
        <v>105</v>
      </c>
      <c r="AM1" t="s">
        <v>106</v>
      </c>
      <c r="AN1" t="s">
        <v>110</v>
      </c>
      <c r="AO1" t="s">
        <v>113</v>
      </c>
      <c r="AP1" t="s">
        <v>168</v>
      </c>
      <c r="AQ1" t="s">
        <v>169</v>
      </c>
      <c r="AR1" t="s">
        <v>170</v>
      </c>
      <c r="AS1" t="s">
        <v>171</v>
      </c>
      <c r="AT1" t="s">
        <v>172</v>
      </c>
      <c r="AU1" t="s">
        <v>173</v>
      </c>
      <c r="AV1" t="s">
        <v>174</v>
      </c>
      <c r="AW1" t="s">
        <v>175</v>
      </c>
      <c r="AX1" t="s">
        <v>176</v>
      </c>
      <c r="AY1" t="s">
        <v>177</v>
      </c>
      <c r="AZ1" t="s">
        <v>178</v>
      </c>
      <c r="BA1" t="s">
        <v>179</v>
      </c>
      <c r="BB1" t="s">
        <v>180</v>
      </c>
      <c r="BC1" t="s">
        <v>181</v>
      </c>
      <c r="BD1" t="s">
        <v>182</v>
      </c>
      <c r="BE1" t="s">
        <v>183</v>
      </c>
      <c r="BF1" t="s">
        <v>184</v>
      </c>
      <c r="BG1" t="s">
        <v>185</v>
      </c>
      <c r="BH1" t="s">
        <v>186</v>
      </c>
      <c r="BI1" t="s">
        <v>187</v>
      </c>
      <c r="BJ1" t="s">
        <v>188</v>
      </c>
      <c r="BK1" t="s">
        <v>189</v>
      </c>
      <c r="BL1" t="s">
        <v>190</v>
      </c>
      <c r="BM1" t="s">
        <v>191</v>
      </c>
      <c r="BN1" t="s">
        <v>192</v>
      </c>
      <c r="BO1" t="s">
        <v>193</v>
      </c>
      <c r="BP1" t="s">
        <v>194</v>
      </c>
      <c r="BQ1" t="s">
        <v>195</v>
      </c>
      <c r="BR1" t="s">
        <v>196</v>
      </c>
      <c r="BS1" t="s">
        <v>197</v>
      </c>
    </row>
    <row r="2" spans="1:71" x14ac:dyDescent="0.25">
      <c r="A2" t="s">
        <v>41</v>
      </c>
      <c r="B2" t="s">
        <v>59</v>
      </c>
      <c r="C2" t="s">
        <v>72</v>
      </c>
      <c r="D2" t="s">
        <v>85</v>
      </c>
      <c r="E2" t="s">
        <v>90</v>
      </c>
      <c r="F2" t="s">
        <v>95</v>
      </c>
      <c r="G2" t="s">
        <v>97</v>
      </c>
      <c r="H2" t="s">
        <v>103</v>
      </c>
      <c r="I2" t="s">
        <v>105</v>
      </c>
      <c r="J2" t="s">
        <v>110</v>
      </c>
      <c r="L2" t="s">
        <v>198</v>
      </c>
      <c r="M2">
        <v>123456</v>
      </c>
      <c r="O2" t="s">
        <v>199</v>
      </c>
      <c r="P2">
        <v>5069798623</v>
      </c>
      <c r="T2">
        <v>5069754165</v>
      </c>
      <c r="V2">
        <v>5069794826</v>
      </c>
      <c r="W2">
        <v>5069743180</v>
      </c>
      <c r="Y2">
        <v>5069743183</v>
      </c>
      <c r="AB2">
        <v>5069873602</v>
      </c>
      <c r="AC2">
        <v>5069854541</v>
      </c>
      <c r="AD2" t="s">
        <v>200</v>
      </c>
      <c r="AE2">
        <v>5069903513</v>
      </c>
      <c r="AF2">
        <v>5069766814</v>
      </c>
      <c r="AJ2">
        <v>5069903062</v>
      </c>
      <c r="AM2" t="s">
        <v>122</v>
      </c>
      <c r="AN2" t="s">
        <v>201</v>
      </c>
      <c r="AO2" t="s">
        <v>202</v>
      </c>
      <c r="BF2">
        <v>5069874268</v>
      </c>
      <c r="BG2">
        <v>5069854760</v>
      </c>
      <c r="BH2" t="s">
        <v>203</v>
      </c>
      <c r="BI2" t="s">
        <v>204</v>
      </c>
      <c r="BJ2" t="s">
        <v>205</v>
      </c>
      <c r="BQ2" t="s">
        <v>128</v>
      </c>
      <c r="BR2" t="s">
        <v>206</v>
      </c>
      <c r="BS2" t="s">
        <v>202</v>
      </c>
    </row>
    <row r="3" spans="1:71" ht="30" x14ac:dyDescent="0.25">
      <c r="A3" t="s">
        <v>44</v>
      </c>
      <c r="B3" t="s">
        <v>62</v>
      </c>
      <c r="C3" t="s">
        <v>76</v>
      </c>
      <c r="G3" t="s">
        <v>98</v>
      </c>
      <c r="I3" t="s">
        <v>106</v>
      </c>
      <c r="J3" t="s">
        <v>113</v>
      </c>
      <c r="T3" t="s">
        <v>207</v>
      </c>
      <c r="AM3" s="186" t="s">
        <v>208</v>
      </c>
      <c r="AO3" t="s">
        <v>209</v>
      </c>
      <c r="BH3">
        <v>5069928533</v>
      </c>
      <c r="BJ3" s="186" t="s">
        <v>210</v>
      </c>
      <c r="BS3" t="s">
        <v>209</v>
      </c>
    </row>
    <row r="4" spans="1:71" x14ac:dyDescent="0.25">
      <c r="A4" t="s">
        <v>45</v>
      </c>
      <c r="B4" t="s">
        <v>65</v>
      </c>
      <c r="C4" t="s">
        <v>80</v>
      </c>
      <c r="G4" t="s">
        <v>99</v>
      </c>
      <c r="AB4" t="s">
        <v>211</v>
      </c>
      <c r="AD4">
        <v>5069902412</v>
      </c>
      <c r="AJ4" t="s">
        <v>212</v>
      </c>
      <c r="AM4" t="s">
        <v>213</v>
      </c>
      <c r="BF4" t="s">
        <v>214</v>
      </c>
      <c r="BG4" t="s">
        <v>211</v>
      </c>
      <c r="BJ4" t="s">
        <v>213</v>
      </c>
      <c r="BQ4" t="s">
        <v>213</v>
      </c>
    </row>
    <row r="5" spans="1:71" ht="45" x14ac:dyDescent="0.25">
      <c r="A5" t="s">
        <v>46</v>
      </c>
      <c r="B5" t="s">
        <v>66</v>
      </c>
      <c r="L5" s="186" t="s">
        <v>215</v>
      </c>
      <c r="O5" t="s">
        <v>207</v>
      </c>
      <c r="P5" s="186" t="s">
        <v>216</v>
      </c>
      <c r="V5" t="s">
        <v>217</v>
      </c>
      <c r="W5" s="186" t="s">
        <v>218</v>
      </c>
      <c r="Y5" s="186" t="s">
        <v>219</v>
      </c>
      <c r="AC5" t="s">
        <v>207</v>
      </c>
      <c r="AE5" s="186" t="s">
        <v>220</v>
      </c>
      <c r="AF5" s="186" t="s">
        <v>221</v>
      </c>
      <c r="AM5" t="s">
        <v>222</v>
      </c>
      <c r="AN5" t="s">
        <v>223</v>
      </c>
      <c r="BF5" s="186" t="s">
        <v>224</v>
      </c>
      <c r="BH5" t="s">
        <v>225</v>
      </c>
      <c r="BI5" s="186" t="s">
        <v>226</v>
      </c>
      <c r="BJ5" t="s">
        <v>222</v>
      </c>
      <c r="BQ5" t="s">
        <v>222</v>
      </c>
      <c r="BR5" t="s">
        <v>227</v>
      </c>
    </row>
    <row r="6" spans="1:71" ht="30" x14ac:dyDescent="0.25">
      <c r="A6" t="s">
        <v>48</v>
      </c>
      <c r="B6" t="s">
        <v>69</v>
      </c>
      <c r="V6" t="s">
        <v>228</v>
      </c>
      <c r="AB6" s="186" t="s">
        <v>229</v>
      </c>
      <c r="AC6" t="s">
        <v>230</v>
      </c>
      <c r="AD6" t="s">
        <v>203</v>
      </c>
      <c r="BG6" s="186" t="s">
        <v>231</v>
      </c>
      <c r="BI6" t="s">
        <v>213</v>
      </c>
    </row>
    <row r="7" spans="1:71" ht="30" x14ac:dyDescent="0.25">
      <c r="A7" t="s">
        <v>51</v>
      </c>
      <c r="B7" t="s">
        <v>70</v>
      </c>
      <c r="O7" t="s">
        <v>232</v>
      </c>
      <c r="V7" t="s">
        <v>233</v>
      </c>
      <c r="AB7">
        <v>5069889024</v>
      </c>
      <c r="AC7" s="186" t="s">
        <v>234</v>
      </c>
      <c r="BF7" t="s">
        <v>203</v>
      </c>
      <c r="BH7">
        <v>5069928941</v>
      </c>
      <c r="BI7" t="s">
        <v>222</v>
      </c>
    </row>
    <row r="8" spans="1:71" ht="45" x14ac:dyDescent="0.25">
      <c r="A8" t="s">
        <v>52</v>
      </c>
      <c r="L8" s="186" t="s">
        <v>235</v>
      </c>
      <c r="O8" t="s">
        <v>236</v>
      </c>
      <c r="P8" s="186" t="s">
        <v>237</v>
      </c>
      <c r="W8" s="186" t="s">
        <v>238</v>
      </c>
      <c r="Y8" s="186" t="s">
        <v>239</v>
      </c>
      <c r="AC8">
        <v>5069891247</v>
      </c>
      <c r="AD8">
        <v>5069927758</v>
      </c>
      <c r="AE8" t="s">
        <v>240</v>
      </c>
      <c r="AF8" t="s">
        <v>241</v>
      </c>
      <c r="AN8" t="s">
        <v>242</v>
      </c>
      <c r="BF8" s="186" t="s">
        <v>243</v>
      </c>
      <c r="BG8" t="s">
        <v>244</v>
      </c>
      <c r="BR8" t="s">
        <v>242</v>
      </c>
    </row>
    <row r="9" spans="1:71" ht="30" x14ac:dyDescent="0.25">
      <c r="A9" t="s">
        <v>167</v>
      </c>
      <c r="O9" t="s">
        <v>245</v>
      </c>
      <c r="AB9" t="s">
        <v>246</v>
      </c>
      <c r="AC9" t="s">
        <v>247</v>
      </c>
      <c r="AE9" s="186" t="s">
        <v>248</v>
      </c>
      <c r="AF9" s="186" t="s">
        <v>249</v>
      </c>
      <c r="AN9" s="186" t="s">
        <v>250</v>
      </c>
      <c r="BG9" t="s">
        <v>251</v>
      </c>
      <c r="BH9" t="s">
        <v>244</v>
      </c>
      <c r="BR9" t="s">
        <v>252</v>
      </c>
    </row>
    <row r="10" spans="1:71" ht="30" x14ac:dyDescent="0.25">
      <c r="A10" t="s">
        <v>54</v>
      </c>
      <c r="AC10" t="s">
        <v>253</v>
      </c>
      <c r="AD10" t="s">
        <v>246</v>
      </c>
      <c r="AN10" t="s">
        <v>213</v>
      </c>
      <c r="BF10" t="s">
        <v>254</v>
      </c>
      <c r="BH10" t="s">
        <v>251</v>
      </c>
      <c r="BR10" s="186" t="s">
        <v>255</v>
      </c>
    </row>
    <row r="11" spans="1:71" ht="30" x14ac:dyDescent="0.25">
      <c r="A11" t="s">
        <v>57</v>
      </c>
      <c r="L11" s="186" t="s">
        <v>256</v>
      </c>
      <c r="P11" t="s">
        <v>257</v>
      </c>
      <c r="W11" t="s">
        <v>258</v>
      </c>
      <c r="Y11" s="186" t="s">
        <v>259</v>
      </c>
      <c r="AB11" s="186" t="s">
        <v>260</v>
      </c>
      <c r="AC11" t="s">
        <v>261</v>
      </c>
      <c r="AD11">
        <v>5069927517</v>
      </c>
      <c r="AN11" t="s">
        <v>222</v>
      </c>
      <c r="BF11" s="186" t="s">
        <v>262</v>
      </c>
      <c r="BG11" s="186" t="s">
        <v>263</v>
      </c>
      <c r="BH11">
        <v>5069928976</v>
      </c>
      <c r="BR11" t="s">
        <v>213</v>
      </c>
    </row>
    <row r="12" spans="1:71" ht="45" x14ac:dyDescent="0.25">
      <c r="AB12">
        <v>5069875612</v>
      </c>
      <c r="AC12" t="s">
        <v>264</v>
      </c>
      <c r="AE12" s="186" t="s">
        <v>265</v>
      </c>
      <c r="AN12" s="186" t="s">
        <v>266</v>
      </c>
      <c r="BF12" t="s">
        <v>244</v>
      </c>
      <c r="BR12" t="s">
        <v>267</v>
      </c>
    </row>
    <row r="13" spans="1:71" ht="30" x14ac:dyDescent="0.25">
      <c r="AB13" t="s">
        <v>203</v>
      </c>
      <c r="AC13" s="186" t="s">
        <v>268</v>
      </c>
      <c r="AF13" t="s">
        <v>269</v>
      </c>
      <c r="BF13" t="s">
        <v>251</v>
      </c>
      <c r="BG13" t="s">
        <v>203</v>
      </c>
      <c r="BH13" t="s">
        <v>270</v>
      </c>
    </row>
    <row r="14" spans="1:71" ht="30" x14ac:dyDescent="0.25">
      <c r="L14" t="s">
        <v>271</v>
      </c>
      <c r="Y14" t="s">
        <v>272</v>
      </c>
      <c r="AF14" s="186" t="s">
        <v>273</v>
      </c>
      <c r="BF14">
        <v>5069875414</v>
      </c>
    </row>
    <row r="15" spans="1:71" ht="30" x14ac:dyDescent="0.25">
      <c r="L15" t="s">
        <v>274</v>
      </c>
      <c r="AE15" t="s">
        <v>275</v>
      </c>
      <c r="AN15" t="s">
        <v>276</v>
      </c>
      <c r="BF15" t="s">
        <v>270</v>
      </c>
      <c r="BG15" s="186" t="s">
        <v>277</v>
      </c>
      <c r="BH15">
        <v>5069929034</v>
      </c>
    </row>
    <row r="16" spans="1:71" ht="45" x14ac:dyDescent="0.25">
      <c r="AC16" t="s">
        <v>278</v>
      </c>
      <c r="AN16" s="186" t="s">
        <v>279</v>
      </c>
    </row>
    <row r="17" spans="29:60" ht="30" x14ac:dyDescent="0.25">
      <c r="AC17" t="s">
        <v>280</v>
      </c>
      <c r="AF17" s="186" t="s">
        <v>281</v>
      </c>
      <c r="AN17" t="s">
        <v>213</v>
      </c>
      <c r="BF17">
        <v>5069938612</v>
      </c>
      <c r="BG17" t="s">
        <v>282</v>
      </c>
      <c r="BH17" t="s">
        <v>212</v>
      </c>
    </row>
    <row r="18" spans="29:60" x14ac:dyDescent="0.25">
      <c r="AN18" t="s">
        <v>267</v>
      </c>
    </row>
    <row r="19" spans="29:60" ht="30" x14ac:dyDescent="0.25">
      <c r="AC19" t="s">
        <v>283</v>
      </c>
      <c r="AF19" s="186" t="s">
        <v>284</v>
      </c>
      <c r="BF19" t="s">
        <v>285</v>
      </c>
      <c r="BH19">
        <v>5069928534</v>
      </c>
    </row>
    <row r="20" spans="29:60" x14ac:dyDescent="0.25">
      <c r="BF20" t="s">
        <v>286</v>
      </c>
    </row>
    <row r="21" spans="29:60" x14ac:dyDescent="0.25">
      <c r="AC21" t="s">
        <v>287</v>
      </c>
      <c r="BF21" t="s">
        <v>288</v>
      </c>
    </row>
    <row r="22" spans="29:60" ht="45" x14ac:dyDescent="0.25">
      <c r="AC22">
        <v>600</v>
      </c>
      <c r="AF22" s="186" t="s">
        <v>289</v>
      </c>
    </row>
    <row r="23" spans="29:60" x14ac:dyDescent="0.25">
      <c r="AC23" t="s">
        <v>264</v>
      </c>
      <c r="AF23" t="s">
        <v>290</v>
      </c>
    </row>
    <row r="24" spans="29:60" x14ac:dyDescent="0.25">
      <c r="AC24" t="s">
        <v>287</v>
      </c>
      <c r="AF24" t="s">
        <v>291</v>
      </c>
    </row>
    <row r="25" spans="29:60" x14ac:dyDescent="0.25">
      <c r="AC25">
        <v>20</v>
      </c>
      <c r="AF25" t="s">
        <v>292</v>
      </c>
    </row>
    <row r="26" spans="29:60" x14ac:dyDescent="0.25">
      <c r="AC26" t="s">
        <v>293</v>
      </c>
      <c r="AF26" t="s">
        <v>294</v>
      </c>
    </row>
    <row r="27" spans="29:60" x14ac:dyDescent="0.25">
      <c r="AC27" t="s">
        <v>295</v>
      </c>
      <c r="AF27" t="s">
        <v>264</v>
      </c>
    </row>
    <row r="28" spans="29:60" x14ac:dyDescent="0.25">
      <c r="AF28" t="s">
        <v>296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2F85B-18A4-42C7-8487-EA29762772C3}">
  <sheetPr codeName="Hoja2">
    <tabColor rgb="FF7030A0"/>
  </sheetPr>
  <dimension ref="A1:B45"/>
  <sheetViews>
    <sheetView showGridLines="0" zoomScale="114" zoomScaleNormal="150" workbookViewId="0">
      <selection activeCell="L49" sqref="L49"/>
    </sheetView>
  </sheetViews>
  <sheetFormatPr baseColWidth="10" defaultColWidth="11.42578125" defaultRowHeight="15" x14ac:dyDescent="0.25"/>
  <cols>
    <col min="1" max="1" width="2.7109375" style="26" customWidth="1"/>
    <col min="2" max="16384" width="11.42578125" style="27"/>
  </cols>
  <sheetData>
    <row r="1" spans="1:2" x14ac:dyDescent="0.25">
      <c r="A1" s="26" t="s">
        <v>297</v>
      </c>
    </row>
    <row r="2" spans="1:2" x14ac:dyDescent="0.25">
      <c r="A2" s="26">
        <v>1</v>
      </c>
      <c r="B2" s="27" t="s">
        <v>298</v>
      </c>
    </row>
    <row r="3" spans="1:2" x14ac:dyDescent="0.25">
      <c r="A3" s="26">
        <v>2</v>
      </c>
      <c r="B3" s="27" t="s">
        <v>299</v>
      </c>
    </row>
    <row r="4" spans="1:2" x14ac:dyDescent="0.25">
      <c r="A4" s="26">
        <v>3</v>
      </c>
      <c r="B4" s="27" t="s">
        <v>300</v>
      </c>
    </row>
    <row r="5" spans="1:2" x14ac:dyDescent="0.25">
      <c r="A5" s="26">
        <v>4</v>
      </c>
      <c r="B5" s="27" t="s">
        <v>301</v>
      </c>
    </row>
    <row r="18" spans="1:2" x14ac:dyDescent="0.25">
      <c r="A18" s="26">
        <v>5</v>
      </c>
      <c r="B18" s="27" t="s">
        <v>302</v>
      </c>
    </row>
    <row r="19" spans="1:2" x14ac:dyDescent="0.25">
      <c r="A19" s="26">
        <v>6</v>
      </c>
      <c r="B19" s="27" t="s">
        <v>303</v>
      </c>
    </row>
    <row r="21" spans="1:2" x14ac:dyDescent="0.25">
      <c r="A21" s="26" t="s">
        <v>304</v>
      </c>
    </row>
    <row r="22" spans="1:2" x14ac:dyDescent="0.25">
      <c r="A22" s="26">
        <v>1</v>
      </c>
      <c r="B22" s="27" t="s">
        <v>305</v>
      </c>
    </row>
    <row r="23" spans="1:2" x14ac:dyDescent="0.25">
      <c r="A23" s="26">
        <v>2</v>
      </c>
      <c r="B23" s="27" t="s">
        <v>306</v>
      </c>
    </row>
    <row r="24" spans="1:2" x14ac:dyDescent="0.25">
      <c r="A24" s="26">
        <v>3</v>
      </c>
      <c r="B24" s="27" t="s">
        <v>307</v>
      </c>
    </row>
    <row r="44" spans="1:2" x14ac:dyDescent="0.25">
      <c r="A44" s="26">
        <v>4</v>
      </c>
      <c r="B44" s="27" t="s">
        <v>308</v>
      </c>
    </row>
    <row r="45" spans="1:2" x14ac:dyDescent="0.25">
      <c r="A45" s="26">
        <v>5</v>
      </c>
      <c r="B45" s="27" t="s">
        <v>309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72D97-2F60-4785-AEF6-B59E0BBDEA7A}">
  <sheetPr codeName="Hoja11"/>
  <dimension ref="A1:A4"/>
  <sheetViews>
    <sheetView workbookViewId="0">
      <selection activeCell="F27" sqref="F27"/>
    </sheetView>
  </sheetViews>
  <sheetFormatPr baseColWidth="10" defaultRowHeight="15" x14ac:dyDescent="0.25"/>
  <cols>
    <col min="1" max="1" width="14.5703125" bestFit="1" customWidth="1"/>
  </cols>
  <sheetData>
    <row r="1" spans="1:1" x14ac:dyDescent="0.25">
      <c r="A1" s="264" t="s">
        <v>315</v>
      </c>
    </row>
    <row r="2" spans="1:1" x14ac:dyDescent="0.25">
      <c r="A2" s="264">
        <v>8401437214</v>
      </c>
    </row>
    <row r="3" spans="1:1" x14ac:dyDescent="0.25">
      <c r="A3" s="264">
        <v>8401437216</v>
      </c>
    </row>
    <row r="4" spans="1:1" x14ac:dyDescent="0.25">
      <c r="A4" s="264" t="s">
        <v>340</v>
      </c>
    </row>
  </sheetData>
  <sortState xmlns:xlrd2="http://schemas.microsoft.com/office/spreadsheetml/2017/richdata2" ref="A2:A4">
    <sortCondition ref="A2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5AA31-F4A5-4704-B058-6E064E2FB3C4}">
  <sheetPr codeName="Hoja12"/>
  <dimension ref="A1:A168"/>
  <sheetViews>
    <sheetView zoomScale="96" zoomScaleNormal="23" workbookViewId="0">
      <selection sqref="A1:A168"/>
    </sheetView>
  </sheetViews>
  <sheetFormatPr baseColWidth="10" defaultRowHeight="15" x14ac:dyDescent="0.25"/>
  <cols>
    <col min="1" max="1" width="176" bestFit="1" customWidth="1"/>
    <col min="2" max="2" width="4.28515625" bestFit="1" customWidth="1"/>
    <col min="3" max="3" width="25.5703125" bestFit="1" customWidth="1"/>
    <col min="4" max="4" width="8.42578125" bestFit="1" customWidth="1"/>
    <col min="5" max="5" width="43.28515625" bestFit="1" customWidth="1"/>
    <col min="6" max="6" width="10.5703125" bestFit="1" customWidth="1"/>
    <col min="7" max="7" width="8.85546875" bestFit="1" customWidth="1"/>
    <col min="8" max="8" width="7.28515625" bestFit="1" customWidth="1"/>
    <col min="9" max="9" width="9.7109375" bestFit="1" customWidth="1"/>
    <col min="10" max="10" width="5.140625" bestFit="1" customWidth="1"/>
    <col min="11" max="11" width="10" bestFit="1" customWidth="1"/>
    <col min="12" max="12" width="5.5703125" bestFit="1" customWidth="1"/>
    <col min="13" max="13" width="11.42578125" bestFit="1" customWidth="1"/>
    <col min="14" max="14" width="5.140625" bestFit="1" customWidth="1"/>
    <col min="15" max="15" width="11" bestFit="1" customWidth="1"/>
    <col min="16" max="16" width="8.28515625" bestFit="1" customWidth="1"/>
    <col min="17" max="17" width="11.42578125" bestFit="1" customWidth="1"/>
    <col min="18" max="18" width="5.140625" bestFit="1" customWidth="1"/>
    <col min="19" max="19" width="16" bestFit="1" customWidth="1"/>
    <col min="20" max="20" width="7.28515625" bestFit="1" customWidth="1"/>
    <col min="21" max="21" width="16.5703125" bestFit="1" customWidth="1"/>
    <col min="22" max="22" width="6.42578125" bestFit="1" customWidth="1"/>
    <col min="23" max="23" width="16" bestFit="1" customWidth="1"/>
    <col min="24" max="24" width="9.28515625" bestFit="1" customWidth="1"/>
    <col min="25" max="25" width="16.5703125" bestFit="1" customWidth="1"/>
    <col min="26" max="26" width="6.42578125" bestFit="1" customWidth="1"/>
  </cols>
  <sheetData>
    <row r="1" spans="1:1" x14ac:dyDescent="0.25">
      <c r="A1" t="s">
        <v>842</v>
      </c>
    </row>
    <row r="2" spans="1:1" x14ac:dyDescent="0.25">
      <c r="A2" t="s">
        <v>841</v>
      </c>
    </row>
    <row r="3" spans="1:1" x14ac:dyDescent="0.25">
      <c r="A3" t="s">
        <v>841</v>
      </c>
    </row>
    <row r="4" spans="1:1" x14ac:dyDescent="0.25">
      <c r="A4" t="s">
        <v>846</v>
      </c>
    </row>
    <row r="5" spans="1:1" x14ac:dyDescent="0.25">
      <c r="A5" t="s">
        <v>841</v>
      </c>
    </row>
    <row r="6" spans="1:1" x14ac:dyDescent="0.25">
      <c r="A6" t="s">
        <v>847</v>
      </c>
    </row>
    <row r="7" spans="1:1" x14ac:dyDescent="0.25">
      <c r="A7" t="s">
        <v>848</v>
      </c>
    </row>
    <row r="8" spans="1:1" x14ac:dyDescent="0.25">
      <c r="A8" t="s">
        <v>849</v>
      </c>
    </row>
    <row r="9" spans="1:1" x14ac:dyDescent="0.25">
      <c r="A9" t="s">
        <v>850</v>
      </c>
    </row>
    <row r="10" spans="1:1" x14ac:dyDescent="0.25">
      <c r="A10" t="s">
        <v>851</v>
      </c>
    </row>
    <row r="11" spans="1:1" x14ac:dyDescent="0.25">
      <c r="A11" t="s">
        <v>852</v>
      </c>
    </row>
    <row r="12" spans="1:1" x14ac:dyDescent="0.25">
      <c r="A12" t="s">
        <v>853</v>
      </c>
    </row>
    <row r="13" spans="1:1" x14ac:dyDescent="0.25">
      <c r="A13" t="s">
        <v>854</v>
      </c>
    </row>
    <row r="14" spans="1:1" x14ac:dyDescent="0.25">
      <c r="A14" t="s">
        <v>855</v>
      </c>
    </row>
    <row r="15" spans="1:1" x14ac:dyDescent="0.25">
      <c r="A15" t="s">
        <v>856</v>
      </c>
    </row>
    <row r="16" spans="1:1" x14ac:dyDescent="0.25">
      <c r="A16" t="s">
        <v>857</v>
      </c>
    </row>
    <row r="17" spans="1:1" x14ac:dyDescent="0.25">
      <c r="A17" t="s">
        <v>858</v>
      </c>
    </row>
    <row r="18" spans="1:1" x14ac:dyDescent="0.25">
      <c r="A18" t="s">
        <v>859</v>
      </c>
    </row>
    <row r="19" spans="1:1" x14ac:dyDescent="0.25">
      <c r="A19" t="s">
        <v>860</v>
      </c>
    </row>
    <row r="20" spans="1:1" x14ac:dyDescent="0.25">
      <c r="A20" t="s">
        <v>861</v>
      </c>
    </row>
    <row r="21" spans="1:1" x14ac:dyDescent="0.25">
      <c r="A21" t="s">
        <v>862</v>
      </c>
    </row>
    <row r="22" spans="1:1" x14ac:dyDescent="0.25">
      <c r="A22" t="s">
        <v>863</v>
      </c>
    </row>
    <row r="23" spans="1:1" x14ac:dyDescent="0.25">
      <c r="A23" t="s">
        <v>864</v>
      </c>
    </row>
    <row r="24" spans="1:1" x14ac:dyDescent="0.25">
      <c r="A24" t="s">
        <v>865</v>
      </c>
    </row>
    <row r="25" spans="1:1" x14ac:dyDescent="0.25">
      <c r="A25" t="s">
        <v>866</v>
      </c>
    </row>
    <row r="26" spans="1:1" x14ac:dyDescent="0.25">
      <c r="A26" t="s">
        <v>867</v>
      </c>
    </row>
    <row r="27" spans="1:1" x14ac:dyDescent="0.25">
      <c r="A27" t="s">
        <v>868</v>
      </c>
    </row>
    <row r="28" spans="1:1" x14ac:dyDescent="0.25">
      <c r="A28" t="s">
        <v>869</v>
      </c>
    </row>
    <row r="29" spans="1:1" x14ac:dyDescent="0.25">
      <c r="A29" t="s">
        <v>870</v>
      </c>
    </row>
    <row r="30" spans="1:1" x14ac:dyDescent="0.25">
      <c r="A30" t="s">
        <v>871</v>
      </c>
    </row>
    <row r="31" spans="1:1" x14ac:dyDescent="0.25">
      <c r="A31" t="s">
        <v>872</v>
      </c>
    </row>
    <row r="32" spans="1:1" x14ac:dyDescent="0.25">
      <c r="A32" t="s">
        <v>873</v>
      </c>
    </row>
    <row r="33" spans="1:1" x14ac:dyDescent="0.25">
      <c r="A33" t="s">
        <v>874</v>
      </c>
    </row>
    <row r="34" spans="1:1" x14ac:dyDescent="0.25">
      <c r="A34" t="s">
        <v>875</v>
      </c>
    </row>
    <row r="35" spans="1:1" x14ac:dyDescent="0.25">
      <c r="A35" t="s">
        <v>876</v>
      </c>
    </row>
    <row r="36" spans="1:1" x14ac:dyDescent="0.25">
      <c r="A36" t="s">
        <v>877</v>
      </c>
    </row>
    <row r="37" spans="1:1" x14ac:dyDescent="0.25">
      <c r="A37" t="s">
        <v>878</v>
      </c>
    </row>
    <row r="38" spans="1:1" x14ac:dyDescent="0.25">
      <c r="A38" t="s">
        <v>879</v>
      </c>
    </row>
    <row r="39" spans="1:1" x14ac:dyDescent="0.25">
      <c r="A39" t="s">
        <v>880</v>
      </c>
    </row>
    <row r="40" spans="1:1" x14ac:dyDescent="0.25">
      <c r="A40" t="s">
        <v>881</v>
      </c>
    </row>
    <row r="41" spans="1:1" x14ac:dyDescent="0.25">
      <c r="A41" t="s">
        <v>882</v>
      </c>
    </row>
    <row r="42" spans="1:1" x14ac:dyDescent="0.25">
      <c r="A42" t="s">
        <v>883</v>
      </c>
    </row>
    <row r="43" spans="1:1" x14ac:dyDescent="0.25">
      <c r="A43" t="s">
        <v>884</v>
      </c>
    </row>
    <row r="44" spans="1:1" x14ac:dyDescent="0.25">
      <c r="A44" t="s">
        <v>885</v>
      </c>
    </row>
    <row r="45" spans="1:1" x14ac:dyDescent="0.25">
      <c r="A45" t="s">
        <v>886</v>
      </c>
    </row>
    <row r="46" spans="1:1" x14ac:dyDescent="0.25">
      <c r="A46" t="s">
        <v>887</v>
      </c>
    </row>
    <row r="47" spans="1:1" x14ac:dyDescent="0.25">
      <c r="A47" t="s">
        <v>888</v>
      </c>
    </row>
    <row r="48" spans="1:1" x14ac:dyDescent="0.25">
      <c r="A48" t="s">
        <v>889</v>
      </c>
    </row>
    <row r="49" spans="1:1" x14ac:dyDescent="0.25">
      <c r="A49" t="s">
        <v>890</v>
      </c>
    </row>
    <row r="50" spans="1:1" x14ac:dyDescent="0.25">
      <c r="A50" t="s">
        <v>891</v>
      </c>
    </row>
    <row r="51" spans="1:1" x14ac:dyDescent="0.25">
      <c r="A51" t="s">
        <v>892</v>
      </c>
    </row>
    <row r="52" spans="1:1" x14ac:dyDescent="0.25">
      <c r="A52" t="s">
        <v>893</v>
      </c>
    </row>
    <row r="53" spans="1:1" x14ac:dyDescent="0.25">
      <c r="A53" t="s">
        <v>894</v>
      </c>
    </row>
    <row r="54" spans="1:1" x14ac:dyDescent="0.25">
      <c r="A54" t="s">
        <v>895</v>
      </c>
    </row>
    <row r="55" spans="1:1" x14ac:dyDescent="0.25">
      <c r="A55" t="s">
        <v>896</v>
      </c>
    </row>
    <row r="56" spans="1:1" x14ac:dyDescent="0.25">
      <c r="A56" t="s">
        <v>897</v>
      </c>
    </row>
    <row r="57" spans="1:1" x14ac:dyDescent="0.25">
      <c r="A57" t="s">
        <v>898</v>
      </c>
    </row>
    <row r="58" spans="1:1" x14ac:dyDescent="0.25">
      <c r="A58" t="s">
        <v>899</v>
      </c>
    </row>
    <row r="59" spans="1:1" x14ac:dyDescent="0.25">
      <c r="A59" t="s">
        <v>900</v>
      </c>
    </row>
    <row r="60" spans="1:1" x14ac:dyDescent="0.25">
      <c r="A60" t="s">
        <v>901</v>
      </c>
    </row>
    <row r="61" spans="1:1" x14ac:dyDescent="0.25">
      <c r="A61" t="s">
        <v>902</v>
      </c>
    </row>
    <row r="62" spans="1:1" x14ac:dyDescent="0.25">
      <c r="A62" t="s">
        <v>903</v>
      </c>
    </row>
    <row r="63" spans="1:1" x14ac:dyDescent="0.25">
      <c r="A63" t="s">
        <v>904</v>
      </c>
    </row>
    <row r="64" spans="1:1" x14ac:dyDescent="0.25">
      <c r="A64" t="s">
        <v>905</v>
      </c>
    </row>
    <row r="65" spans="1:1" x14ac:dyDescent="0.25">
      <c r="A65" t="s">
        <v>906</v>
      </c>
    </row>
    <row r="66" spans="1:1" x14ac:dyDescent="0.25">
      <c r="A66" t="s">
        <v>907</v>
      </c>
    </row>
    <row r="67" spans="1:1" x14ac:dyDescent="0.25">
      <c r="A67" t="s">
        <v>908</v>
      </c>
    </row>
    <row r="68" spans="1:1" x14ac:dyDescent="0.25">
      <c r="A68" t="s">
        <v>909</v>
      </c>
    </row>
    <row r="69" spans="1:1" x14ac:dyDescent="0.25">
      <c r="A69" t="s">
        <v>910</v>
      </c>
    </row>
    <row r="70" spans="1:1" x14ac:dyDescent="0.25">
      <c r="A70" t="s">
        <v>911</v>
      </c>
    </row>
    <row r="71" spans="1:1" x14ac:dyDescent="0.25">
      <c r="A71" t="s">
        <v>912</v>
      </c>
    </row>
    <row r="72" spans="1:1" x14ac:dyDescent="0.25">
      <c r="A72" t="s">
        <v>913</v>
      </c>
    </row>
    <row r="73" spans="1:1" x14ac:dyDescent="0.25">
      <c r="A73" t="s">
        <v>914</v>
      </c>
    </row>
    <row r="74" spans="1:1" x14ac:dyDescent="0.25">
      <c r="A74" t="s">
        <v>915</v>
      </c>
    </row>
    <row r="75" spans="1:1" x14ac:dyDescent="0.25">
      <c r="A75" t="s">
        <v>916</v>
      </c>
    </row>
    <row r="76" spans="1:1" x14ac:dyDescent="0.25">
      <c r="A76" t="s">
        <v>917</v>
      </c>
    </row>
    <row r="77" spans="1:1" x14ac:dyDescent="0.25">
      <c r="A77" t="s">
        <v>918</v>
      </c>
    </row>
    <row r="78" spans="1:1" x14ac:dyDescent="0.25">
      <c r="A78" t="s">
        <v>919</v>
      </c>
    </row>
    <row r="79" spans="1:1" x14ac:dyDescent="0.25">
      <c r="A79" t="s">
        <v>920</v>
      </c>
    </row>
    <row r="80" spans="1:1" x14ac:dyDescent="0.25">
      <c r="A80" t="s">
        <v>921</v>
      </c>
    </row>
    <row r="81" spans="1:1" x14ac:dyDescent="0.25">
      <c r="A81" t="s">
        <v>922</v>
      </c>
    </row>
    <row r="82" spans="1:1" x14ac:dyDescent="0.25">
      <c r="A82" t="s">
        <v>923</v>
      </c>
    </row>
    <row r="83" spans="1:1" x14ac:dyDescent="0.25">
      <c r="A83" t="s">
        <v>924</v>
      </c>
    </row>
    <row r="84" spans="1:1" x14ac:dyDescent="0.25">
      <c r="A84" t="s">
        <v>925</v>
      </c>
    </row>
    <row r="85" spans="1:1" x14ac:dyDescent="0.25">
      <c r="A85" t="s">
        <v>926</v>
      </c>
    </row>
    <row r="86" spans="1:1" x14ac:dyDescent="0.25">
      <c r="A86" t="s">
        <v>927</v>
      </c>
    </row>
    <row r="87" spans="1:1" x14ac:dyDescent="0.25">
      <c r="A87" t="s">
        <v>928</v>
      </c>
    </row>
    <row r="88" spans="1:1" x14ac:dyDescent="0.25">
      <c r="A88" t="s">
        <v>929</v>
      </c>
    </row>
    <row r="89" spans="1:1" x14ac:dyDescent="0.25">
      <c r="A89" t="s">
        <v>930</v>
      </c>
    </row>
    <row r="90" spans="1:1" x14ac:dyDescent="0.25">
      <c r="A90" t="s">
        <v>931</v>
      </c>
    </row>
    <row r="91" spans="1:1" x14ac:dyDescent="0.25">
      <c r="A91" t="s">
        <v>932</v>
      </c>
    </row>
    <row r="92" spans="1:1" x14ac:dyDescent="0.25">
      <c r="A92" t="s">
        <v>933</v>
      </c>
    </row>
    <row r="93" spans="1:1" x14ac:dyDescent="0.25">
      <c r="A93" t="s">
        <v>934</v>
      </c>
    </row>
    <row r="94" spans="1:1" x14ac:dyDescent="0.25">
      <c r="A94" t="s">
        <v>935</v>
      </c>
    </row>
    <row r="95" spans="1:1" x14ac:dyDescent="0.25">
      <c r="A95" t="s">
        <v>936</v>
      </c>
    </row>
    <row r="96" spans="1:1" x14ac:dyDescent="0.25">
      <c r="A96" t="s">
        <v>937</v>
      </c>
    </row>
    <row r="97" spans="1:1" x14ac:dyDescent="0.25">
      <c r="A97" t="s">
        <v>938</v>
      </c>
    </row>
    <row r="98" spans="1:1" x14ac:dyDescent="0.25">
      <c r="A98" t="s">
        <v>939</v>
      </c>
    </row>
    <row r="99" spans="1:1" x14ac:dyDescent="0.25">
      <c r="A99" t="s">
        <v>940</v>
      </c>
    </row>
    <row r="100" spans="1:1" x14ac:dyDescent="0.25">
      <c r="A100" t="s">
        <v>941</v>
      </c>
    </row>
    <row r="101" spans="1:1" x14ac:dyDescent="0.25">
      <c r="A101" t="s">
        <v>942</v>
      </c>
    </row>
    <row r="102" spans="1:1" x14ac:dyDescent="0.25">
      <c r="A102" t="s">
        <v>943</v>
      </c>
    </row>
    <row r="103" spans="1:1" x14ac:dyDescent="0.25">
      <c r="A103" t="s">
        <v>944</v>
      </c>
    </row>
    <row r="104" spans="1:1" x14ac:dyDescent="0.25">
      <c r="A104" t="s">
        <v>945</v>
      </c>
    </row>
    <row r="105" spans="1:1" x14ac:dyDescent="0.25">
      <c r="A105" t="s">
        <v>946</v>
      </c>
    </row>
    <row r="106" spans="1:1" x14ac:dyDescent="0.25">
      <c r="A106" t="s">
        <v>947</v>
      </c>
    </row>
    <row r="107" spans="1:1" x14ac:dyDescent="0.25">
      <c r="A107" t="s">
        <v>948</v>
      </c>
    </row>
    <row r="108" spans="1:1" x14ac:dyDescent="0.25">
      <c r="A108" t="s">
        <v>949</v>
      </c>
    </row>
    <row r="109" spans="1:1" x14ac:dyDescent="0.25">
      <c r="A109" t="s">
        <v>950</v>
      </c>
    </row>
    <row r="110" spans="1:1" x14ac:dyDescent="0.25">
      <c r="A110" t="s">
        <v>951</v>
      </c>
    </row>
    <row r="111" spans="1:1" x14ac:dyDescent="0.25">
      <c r="A111" t="s">
        <v>952</v>
      </c>
    </row>
    <row r="112" spans="1:1" x14ac:dyDescent="0.25">
      <c r="A112" t="s">
        <v>953</v>
      </c>
    </row>
    <row r="113" spans="1:1" x14ac:dyDescent="0.25">
      <c r="A113" t="s">
        <v>954</v>
      </c>
    </row>
    <row r="114" spans="1:1" x14ac:dyDescent="0.25">
      <c r="A114" t="s">
        <v>955</v>
      </c>
    </row>
    <row r="115" spans="1:1" x14ac:dyDescent="0.25">
      <c r="A115" t="s">
        <v>956</v>
      </c>
    </row>
    <row r="116" spans="1:1" x14ac:dyDescent="0.25">
      <c r="A116" t="s">
        <v>957</v>
      </c>
    </row>
    <row r="117" spans="1:1" x14ac:dyDescent="0.25">
      <c r="A117" t="s">
        <v>958</v>
      </c>
    </row>
    <row r="118" spans="1:1" x14ac:dyDescent="0.25">
      <c r="A118" t="s">
        <v>959</v>
      </c>
    </row>
    <row r="119" spans="1:1" x14ac:dyDescent="0.25">
      <c r="A119" t="s">
        <v>960</v>
      </c>
    </row>
    <row r="120" spans="1:1" x14ac:dyDescent="0.25">
      <c r="A120" t="s">
        <v>961</v>
      </c>
    </row>
    <row r="121" spans="1:1" x14ac:dyDescent="0.25">
      <c r="A121" t="s">
        <v>962</v>
      </c>
    </row>
    <row r="122" spans="1:1" x14ac:dyDescent="0.25">
      <c r="A122" t="s">
        <v>963</v>
      </c>
    </row>
    <row r="123" spans="1:1" x14ac:dyDescent="0.25">
      <c r="A123" t="s">
        <v>964</v>
      </c>
    </row>
    <row r="124" spans="1:1" x14ac:dyDescent="0.25">
      <c r="A124" t="s">
        <v>965</v>
      </c>
    </row>
    <row r="125" spans="1:1" x14ac:dyDescent="0.25">
      <c r="A125" t="s">
        <v>966</v>
      </c>
    </row>
    <row r="126" spans="1:1" x14ac:dyDescent="0.25">
      <c r="A126" t="s">
        <v>967</v>
      </c>
    </row>
    <row r="127" spans="1:1" x14ac:dyDescent="0.25">
      <c r="A127" t="s">
        <v>968</v>
      </c>
    </row>
    <row r="128" spans="1:1" x14ac:dyDescent="0.25">
      <c r="A128" t="s">
        <v>969</v>
      </c>
    </row>
    <row r="129" spans="1:1" x14ac:dyDescent="0.25">
      <c r="A129" t="s">
        <v>970</v>
      </c>
    </row>
    <row r="130" spans="1:1" x14ac:dyDescent="0.25">
      <c r="A130" t="s">
        <v>971</v>
      </c>
    </row>
    <row r="131" spans="1:1" x14ac:dyDescent="0.25">
      <c r="A131" t="s">
        <v>972</v>
      </c>
    </row>
    <row r="132" spans="1:1" x14ac:dyDescent="0.25">
      <c r="A132" t="s">
        <v>973</v>
      </c>
    </row>
    <row r="133" spans="1:1" x14ac:dyDescent="0.25">
      <c r="A133" t="s">
        <v>974</v>
      </c>
    </row>
    <row r="134" spans="1:1" x14ac:dyDescent="0.25">
      <c r="A134" t="s">
        <v>975</v>
      </c>
    </row>
    <row r="135" spans="1:1" x14ac:dyDescent="0.25">
      <c r="A135" t="s">
        <v>976</v>
      </c>
    </row>
    <row r="136" spans="1:1" x14ac:dyDescent="0.25">
      <c r="A136" t="s">
        <v>977</v>
      </c>
    </row>
    <row r="137" spans="1:1" x14ac:dyDescent="0.25">
      <c r="A137" t="s">
        <v>978</v>
      </c>
    </row>
    <row r="138" spans="1:1" x14ac:dyDescent="0.25">
      <c r="A138" t="s">
        <v>979</v>
      </c>
    </row>
    <row r="139" spans="1:1" x14ac:dyDescent="0.25">
      <c r="A139" t="s">
        <v>980</v>
      </c>
    </row>
    <row r="140" spans="1:1" x14ac:dyDescent="0.25">
      <c r="A140" t="s">
        <v>981</v>
      </c>
    </row>
    <row r="141" spans="1:1" x14ac:dyDescent="0.25">
      <c r="A141" t="s">
        <v>982</v>
      </c>
    </row>
    <row r="142" spans="1:1" x14ac:dyDescent="0.25">
      <c r="A142" t="s">
        <v>983</v>
      </c>
    </row>
    <row r="143" spans="1:1" x14ac:dyDescent="0.25">
      <c r="A143" t="s">
        <v>984</v>
      </c>
    </row>
    <row r="144" spans="1:1" x14ac:dyDescent="0.25">
      <c r="A144" t="s">
        <v>985</v>
      </c>
    </row>
    <row r="145" spans="1:1" x14ac:dyDescent="0.25">
      <c r="A145" t="s">
        <v>986</v>
      </c>
    </row>
    <row r="146" spans="1:1" x14ac:dyDescent="0.25">
      <c r="A146" t="s">
        <v>987</v>
      </c>
    </row>
    <row r="147" spans="1:1" x14ac:dyDescent="0.25">
      <c r="A147" t="s">
        <v>988</v>
      </c>
    </row>
    <row r="148" spans="1:1" x14ac:dyDescent="0.25">
      <c r="A148" t="s">
        <v>989</v>
      </c>
    </row>
    <row r="149" spans="1:1" x14ac:dyDescent="0.25">
      <c r="A149" t="s">
        <v>990</v>
      </c>
    </row>
    <row r="150" spans="1:1" x14ac:dyDescent="0.25">
      <c r="A150" t="s">
        <v>991</v>
      </c>
    </row>
    <row r="151" spans="1:1" x14ac:dyDescent="0.25">
      <c r="A151" t="s">
        <v>992</v>
      </c>
    </row>
    <row r="152" spans="1:1" x14ac:dyDescent="0.25">
      <c r="A152" t="s">
        <v>993</v>
      </c>
    </row>
    <row r="153" spans="1:1" x14ac:dyDescent="0.25">
      <c r="A153" t="s">
        <v>994</v>
      </c>
    </row>
    <row r="154" spans="1:1" x14ac:dyDescent="0.25">
      <c r="A154" t="s">
        <v>995</v>
      </c>
    </row>
    <row r="155" spans="1:1" x14ac:dyDescent="0.25">
      <c r="A155" t="s">
        <v>996</v>
      </c>
    </row>
    <row r="156" spans="1:1" x14ac:dyDescent="0.25">
      <c r="A156" t="s">
        <v>997</v>
      </c>
    </row>
    <row r="157" spans="1:1" x14ac:dyDescent="0.25">
      <c r="A157" t="s">
        <v>998</v>
      </c>
    </row>
    <row r="158" spans="1:1" x14ac:dyDescent="0.25">
      <c r="A158" t="s">
        <v>999</v>
      </c>
    </row>
    <row r="159" spans="1:1" x14ac:dyDescent="0.25">
      <c r="A159" t="s">
        <v>1000</v>
      </c>
    </row>
    <row r="160" spans="1:1" x14ac:dyDescent="0.25">
      <c r="A160" t="s">
        <v>1001</v>
      </c>
    </row>
    <row r="161" spans="1:1" x14ac:dyDescent="0.25">
      <c r="A161" t="s">
        <v>1002</v>
      </c>
    </row>
    <row r="162" spans="1:1" x14ac:dyDescent="0.25">
      <c r="A162" t="s">
        <v>1003</v>
      </c>
    </row>
    <row r="163" spans="1:1" x14ac:dyDescent="0.25">
      <c r="A163" t="s">
        <v>1004</v>
      </c>
    </row>
    <row r="164" spans="1:1" x14ac:dyDescent="0.25">
      <c r="A164" t="s">
        <v>1005</v>
      </c>
    </row>
    <row r="165" spans="1:1" x14ac:dyDescent="0.25">
      <c r="A165" t="s">
        <v>1006</v>
      </c>
    </row>
    <row r="166" spans="1:1" x14ac:dyDescent="0.25">
      <c r="A166" t="s">
        <v>1007</v>
      </c>
    </row>
    <row r="167" spans="1:1" x14ac:dyDescent="0.25">
      <c r="A167" t="s">
        <v>1008</v>
      </c>
    </row>
    <row r="168" spans="1:1" x14ac:dyDescent="0.25">
      <c r="A168" t="s">
        <v>841</v>
      </c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909A4-9CED-48BB-B786-E5362E2CDC98}">
  <sheetPr codeName="Hoja10"/>
  <dimension ref="A1:A22"/>
  <sheetViews>
    <sheetView workbookViewId="0">
      <selection sqref="A1:A22"/>
    </sheetView>
  </sheetViews>
  <sheetFormatPr baseColWidth="10" defaultRowHeight="15" x14ac:dyDescent="0.25"/>
  <sheetData>
    <row r="1" spans="1:1" x14ac:dyDescent="0.25">
      <c r="A1" t="s">
        <v>316</v>
      </c>
    </row>
    <row r="2" spans="1:1" x14ac:dyDescent="0.25">
      <c r="A2" t="s">
        <v>317</v>
      </c>
    </row>
    <row r="3" spans="1:1" x14ac:dyDescent="0.25">
      <c r="A3" t="s">
        <v>317</v>
      </c>
    </row>
    <row r="4" spans="1:1" x14ac:dyDescent="0.25">
      <c r="A4" t="s">
        <v>318</v>
      </c>
    </row>
    <row r="5" spans="1:1" x14ac:dyDescent="0.25">
      <c r="A5" t="s">
        <v>317</v>
      </c>
    </row>
    <row r="6" spans="1:1" x14ac:dyDescent="0.25">
      <c r="A6" t="s">
        <v>319</v>
      </c>
    </row>
    <row r="7" spans="1:1" x14ac:dyDescent="0.25">
      <c r="A7" t="s">
        <v>320</v>
      </c>
    </row>
    <row r="8" spans="1:1" x14ac:dyDescent="0.25">
      <c r="A8" t="s">
        <v>321</v>
      </c>
    </row>
    <row r="9" spans="1:1" x14ac:dyDescent="0.25">
      <c r="A9" t="s">
        <v>322</v>
      </c>
    </row>
    <row r="10" spans="1:1" x14ac:dyDescent="0.25">
      <c r="A10" t="s">
        <v>323</v>
      </c>
    </row>
    <row r="11" spans="1:1" x14ac:dyDescent="0.25">
      <c r="A11" t="s">
        <v>324</v>
      </c>
    </row>
    <row r="12" spans="1:1" x14ac:dyDescent="0.25">
      <c r="A12" t="s">
        <v>325</v>
      </c>
    </row>
    <row r="13" spans="1:1" x14ac:dyDescent="0.25">
      <c r="A13" t="s">
        <v>326</v>
      </c>
    </row>
    <row r="14" spans="1:1" x14ac:dyDescent="0.25">
      <c r="A14" t="s">
        <v>327</v>
      </c>
    </row>
    <row r="15" spans="1:1" x14ac:dyDescent="0.25">
      <c r="A15" t="s">
        <v>328</v>
      </c>
    </row>
    <row r="16" spans="1:1" x14ac:dyDescent="0.25">
      <c r="A16" t="s">
        <v>329</v>
      </c>
    </row>
    <row r="17" spans="1:1" x14ac:dyDescent="0.25">
      <c r="A17" t="s">
        <v>330</v>
      </c>
    </row>
    <row r="18" spans="1:1" x14ac:dyDescent="0.25">
      <c r="A18" t="s">
        <v>331</v>
      </c>
    </row>
    <row r="19" spans="1:1" x14ac:dyDescent="0.25">
      <c r="A19" t="s">
        <v>332</v>
      </c>
    </row>
    <row r="20" spans="1:1" x14ac:dyDescent="0.25">
      <c r="A20" t="s">
        <v>333</v>
      </c>
    </row>
    <row r="21" spans="1:1" x14ac:dyDescent="0.25">
      <c r="A21" t="s">
        <v>334</v>
      </c>
    </row>
    <row r="22" spans="1:1" x14ac:dyDescent="0.25">
      <c r="A22" t="s">
        <v>317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D65F695ECDE6248AEE15FA8AD8B8B05" ma:contentTypeVersion="6" ma:contentTypeDescription="Crear nuevo documento." ma:contentTypeScope="" ma:versionID="12e8e4e0f1cd87840b3696c6a74f1276">
  <xsd:schema xmlns:xsd="http://www.w3.org/2001/XMLSchema" xmlns:xs="http://www.w3.org/2001/XMLSchema" xmlns:p="http://schemas.microsoft.com/office/2006/metadata/properties" xmlns:ns2="e8b3cfab-f6da-4b91-b239-7c62dd394984" xmlns:ns3="dacec82c-e051-4073-88a2-0e3e8fed8d0f" targetNamespace="http://schemas.microsoft.com/office/2006/metadata/properties" ma:root="true" ma:fieldsID="6fb732c7b4d357abe5ce5fd760d4b5e0" ns2:_="" ns3:_="">
    <xsd:import namespace="e8b3cfab-f6da-4b91-b239-7c62dd394984"/>
    <xsd:import namespace="dacec82c-e051-4073-88a2-0e3e8fed8d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b3cfab-f6da-4b91-b239-7c62dd394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cec82c-e051-4073-88a2-0e3e8fed8d0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283F6B-606D-4D41-864B-64D7DD91E86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2677478-C4EF-4A3C-8175-085A1D0D2E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5089A2-9B84-496C-B857-36A816299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b3cfab-f6da-4b91-b239-7c62dd394984"/>
    <ds:schemaRef ds:uri="dacec82c-e051-4073-88a2-0e3e8fed8d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80</vt:i4>
      </vt:variant>
    </vt:vector>
  </HeadingPairs>
  <TitlesOfParts>
    <vt:vector size="92" baseType="lpstr">
      <vt:lpstr>RUTA SAP</vt:lpstr>
      <vt:lpstr>Planeación de ParadasRev01</vt:lpstr>
      <vt:lpstr>Cronograma</vt:lpstr>
      <vt:lpstr>Consultas</vt:lpstr>
      <vt:lpstr>Hoja4</vt:lpstr>
      <vt:lpstr>Conteo de dias</vt:lpstr>
      <vt:lpstr>Revisiones automaticas general</vt:lpstr>
      <vt:lpstr>Revision de estado</vt:lpstr>
      <vt:lpstr>Info. Importante</vt:lpstr>
      <vt:lpstr>Pedidos</vt:lpstr>
      <vt:lpstr>Informe de pedidos</vt:lpstr>
      <vt:lpstr>Hoja1</vt:lpstr>
      <vt:lpstr>GASCOL_CENTRO</vt:lpstr>
      <vt:lpstr>GASCOL_CENTRO_T1</vt:lpstr>
      <vt:lpstr>GASCOL_SUR</vt:lpstr>
      <vt:lpstr>GASCOL_SUR_T1</vt:lpstr>
      <vt:lpstr>GASEOSAS_LUX_BOGOTÁ</vt:lpstr>
      <vt:lpstr>GASEOSAS_LUX_BOGOTÁ_T1</vt:lpstr>
      <vt:lpstr>GASEOSAS_LUX_PIEDECUESTA</vt:lpstr>
      <vt:lpstr>GASEOSAS_LUX_PIEDECUESTA_T1</vt:lpstr>
      <vt:lpstr>L10_LUX</vt:lpstr>
      <vt:lpstr>L10_LUX_T3</vt:lpstr>
      <vt:lpstr>L10YUMBO</vt:lpstr>
      <vt:lpstr>L10YUMBO_T3</vt:lpstr>
      <vt:lpstr>L11LUX</vt:lpstr>
      <vt:lpstr>L11LUX_T3</vt:lpstr>
      <vt:lpstr>L11MALAM</vt:lpstr>
      <vt:lpstr>L11MALAM_T3</vt:lpstr>
      <vt:lpstr>L12LUX</vt:lpstr>
      <vt:lpstr>L12LUX_T3</vt:lpstr>
      <vt:lpstr>L12MALAM</vt:lpstr>
      <vt:lpstr>L12MALAM_T3</vt:lpstr>
      <vt:lpstr>L13MALAM</vt:lpstr>
      <vt:lpstr>L13MALAM_T3</vt:lpstr>
      <vt:lpstr>L1MALAMB</vt:lpstr>
      <vt:lpstr>L1MALAMB_T3</vt:lpstr>
      <vt:lpstr>L1NGB</vt:lpstr>
      <vt:lpstr>L1NGB_T3</vt:lpstr>
      <vt:lpstr>L1PEREI</vt:lpstr>
      <vt:lpstr>L1PEREI_T3</vt:lpstr>
      <vt:lpstr>L1YUMBO</vt:lpstr>
      <vt:lpstr>L1YUMBO_T3</vt:lpstr>
      <vt:lpstr>L3BELLO</vt:lpstr>
      <vt:lpstr>L3BELLO_T3</vt:lpstr>
      <vt:lpstr>L3LUX</vt:lpstr>
      <vt:lpstr>L3LUX_T3</vt:lpstr>
      <vt:lpstr>L4LUX</vt:lpstr>
      <vt:lpstr>L4LUX_T3</vt:lpstr>
      <vt:lpstr>L4PEREI</vt:lpstr>
      <vt:lpstr>L4PEREI_T3</vt:lpstr>
      <vt:lpstr>L4SUR</vt:lpstr>
      <vt:lpstr>L4SUR_T3</vt:lpstr>
      <vt:lpstr>L5LUX</vt:lpstr>
      <vt:lpstr>L5LUX_T3</vt:lpstr>
      <vt:lpstr>L5PIEDEC</vt:lpstr>
      <vt:lpstr>L5PIEDEC_T3</vt:lpstr>
      <vt:lpstr>L6CENTRO</vt:lpstr>
      <vt:lpstr>L6CENTRO_T3</vt:lpstr>
      <vt:lpstr>L6MALAMB</vt:lpstr>
      <vt:lpstr>L6MALAMB_T3</vt:lpstr>
      <vt:lpstr>L7MALAMB</vt:lpstr>
      <vt:lpstr>L7MALAMB_T3</vt:lpstr>
      <vt:lpstr>L7MEDELL</vt:lpstr>
      <vt:lpstr>L7MEDELL_T3</vt:lpstr>
      <vt:lpstr>L7SUR</vt:lpstr>
      <vt:lpstr>L7SUR_T3</vt:lpstr>
      <vt:lpstr>L8LUX</vt:lpstr>
      <vt:lpstr>L8LUX_T3</vt:lpstr>
      <vt:lpstr>L8SUR</vt:lpstr>
      <vt:lpstr>L8SUR_T3</vt:lpstr>
      <vt:lpstr>L8YUMBO</vt:lpstr>
      <vt:lpstr>L8YUMBO_T3</vt:lpstr>
      <vt:lpstr>L9LUX</vt:lpstr>
      <vt:lpstr>L9LUX_T3</vt:lpstr>
      <vt:lpstr>L9MEDELL</vt:lpstr>
      <vt:lpstr>L9MEDELL_T3</vt:lpstr>
      <vt:lpstr>LIN1LUX</vt:lpstr>
      <vt:lpstr>LIN1LUX_T3</vt:lpstr>
      <vt:lpstr>LIN2LUX</vt:lpstr>
      <vt:lpstr>LIN2LUX_T3</vt:lpstr>
      <vt:lpstr>NUEVA_GENERACION_DE_BEBIDAS</vt:lpstr>
      <vt:lpstr>NUEVA_GENERACION_DE_BEBIDAS_T1</vt:lpstr>
      <vt:lpstr>POSTOBÓN_BELLO</vt:lpstr>
      <vt:lpstr>POSTOBÓN_BELLO_T1</vt:lpstr>
      <vt:lpstr>POSTOBÓN_MALAMBO</vt:lpstr>
      <vt:lpstr>POSTOBÓN_MALAMBO_T1</vt:lpstr>
      <vt:lpstr>POSTOBÓN_MEDELLÍN</vt:lpstr>
      <vt:lpstr>POSTOBÓN_MEDELLÍN_T1</vt:lpstr>
      <vt:lpstr>POSTOBÓN_PEREIRA</vt:lpstr>
      <vt:lpstr>POSTOBÓN_PEREIRA_T1</vt:lpstr>
      <vt:lpstr>POSTOBÓN_YUMBO</vt:lpstr>
      <vt:lpstr>POSTOBÓN_YUMBO_T1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Fernando Gomez Gomez</dc:creator>
  <cp:keywords/>
  <dc:description/>
  <cp:lastModifiedBy>Practicante Mantenimiento (Andres Felipe Sanchez Chava</cp:lastModifiedBy>
  <cp:revision/>
  <dcterms:created xsi:type="dcterms:W3CDTF">2024-08-28T11:42:15Z</dcterms:created>
  <dcterms:modified xsi:type="dcterms:W3CDTF">2026-01-27T20:54:17Z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0x0101006D65F695ECDE6248AEE15FA8AD8B8B05</vt:lpwstr>
  </property>
</Properties>
</file>